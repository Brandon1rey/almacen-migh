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📦 Catálogo Mat. Primas" sheetId="1" state="visible" r:id="rId1"/>
  </sheets>
  <definedNames>
    <definedName name="Aminoacido">'📦 Catálogo Mat. Primas'!$B$12</definedName>
    <definedName name="_xlnm._FilterDatabase" localSheetId="0" hidden="1">'📦 Catálogo Mat. Primas'!$A$3:$I$141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2"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3"/>
    </font>
    <font>
      <name val="Aptos Narrow"/>
      <family val="2"/>
      <sz val="8"/>
      <scheme val="minor"/>
    </font>
    <font>
      <name val="Arial"/>
      <family val="2"/>
      <b val="1"/>
      <sz val="13"/>
    </font>
    <font>
      <name val="Arial"/>
      <family val="2"/>
      <color rgb="FF000000"/>
      <sz val="10"/>
    </font>
    <font>
      <name val="Arial"/>
      <sz val="10"/>
    </font>
    <font>
      <name val="Aptos Narrow"/>
      <family val="2"/>
      <color theme="1"/>
      <sz val="11"/>
      <scheme val="minor"/>
    </font>
    <font>
      <name val="Open Sans"/>
      <family val="2"/>
      <color rgb="FF515C66"/>
      <sz val="8"/>
    </font>
  </fonts>
  <fills count="11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rgb="FFF2F2F2"/>
      </patternFill>
    </fill>
    <fill>
      <patternFill patternType="solid">
        <fgColor rgb="FF1F3864"/>
        <bgColor rgb="FF1B3A6B"/>
      </patternFill>
    </fill>
    <fill>
      <patternFill patternType="solid">
        <fgColor theme="2"/>
        <bgColor rgb="FFEEEEE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B3A6B"/>
      </patternFill>
    </fill>
    <fill>
      <patternFill patternType="solid">
        <fgColor rgb="FFFDFE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4">
    <xf numFmtId="0" fontId="10" fillId="0" borderId="0"/>
    <xf numFmtId="0" fontId="1" fillId="0" borderId="0"/>
    <xf numFmtId="0" fontId="9" fillId="0" borderId="0"/>
    <xf numFmtId="44" fontId="10" fillId="0" borderId="0"/>
  </cellStyleXfs>
  <cellXfs count="31">
    <xf numFmtId="0" fontId="0" fillId="0" borderId="0" pivotButton="0" quotePrefix="0" xfId="0"/>
    <xf numFmtId="0" fontId="1" fillId="0" borderId="0" pivotButton="0" quotePrefix="0" xfId="1"/>
    <xf numFmtId="0" fontId="5" fillId="8" borderId="0" applyAlignment="1" pivotButton="0" quotePrefix="0" xfId="1">
      <alignment horizontal="center" vertical="center"/>
    </xf>
    <xf numFmtId="0" fontId="4" fillId="3" borderId="0" applyAlignment="1" pivotButton="0" quotePrefix="0" xfId="1">
      <alignment vertical="center"/>
    </xf>
    <xf numFmtId="0" fontId="1" fillId="0" borderId="2" pivotButton="0" quotePrefix="0" xfId="1"/>
    <xf numFmtId="0" fontId="1" fillId="7" borderId="2" pivotButton="0" quotePrefix="0" xfId="1"/>
    <xf numFmtId="0" fontId="3" fillId="5" borderId="3" applyAlignment="1" pivotButton="0" quotePrefix="0" xfId="1">
      <alignment horizontal="center" vertical="center" wrapText="1"/>
    </xf>
    <xf numFmtId="0" fontId="2" fillId="3" borderId="2" applyAlignment="1" pivotButton="0" quotePrefix="0" xfId="1">
      <alignment horizontal="left" vertical="center"/>
    </xf>
    <xf numFmtId="0" fontId="2" fillId="4" borderId="2" applyAlignment="1" pivotButton="0" quotePrefix="0" xfId="1">
      <alignment horizontal="left" vertical="center"/>
    </xf>
    <xf numFmtId="4" fontId="2" fillId="3" borderId="2" applyAlignment="1" pivotButton="0" quotePrefix="0" xfId="1">
      <alignment horizontal="left" vertical="center"/>
    </xf>
    <xf numFmtId="164" fontId="2" fillId="4" borderId="2" applyAlignment="1" pivotButton="0" quotePrefix="0" xfId="1">
      <alignment horizontal="left" vertical="center"/>
    </xf>
    <xf numFmtId="164" fontId="2" fillId="3" borderId="2" applyAlignment="1" pivotButton="0" quotePrefix="0" xfId="1">
      <alignment horizontal="left" vertical="center"/>
    </xf>
    <xf numFmtId="49" fontId="8" fillId="4" borderId="2" applyAlignment="1" pivotButton="0" quotePrefix="0" xfId="1">
      <alignment horizontal="left" vertical="center"/>
    </xf>
    <xf numFmtId="0" fontId="2" fillId="4" borderId="2" applyAlignment="1" pivotButton="0" quotePrefix="0" xfId="3">
      <alignment horizontal="left" vertical="center"/>
    </xf>
    <xf numFmtId="49" fontId="2" fillId="4" borderId="2" applyAlignment="1" pivotButton="0" quotePrefix="0" xfId="1">
      <alignment horizontal="left" vertical="center"/>
    </xf>
    <xf numFmtId="0" fontId="8" fillId="4" borderId="2" applyAlignment="1" pivotButton="0" quotePrefix="0" xfId="1">
      <alignment horizontal="left" vertical="center"/>
    </xf>
    <xf numFmtId="164" fontId="8" fillId="4" borderId="2" applyAlignment="1" pivotButton="0" quotePrefix="0" xfId="1">
      <alignment horizontal="left" vertical="center"/>
    </xf>
    <xf numFmtId="0" fontId="2" fillId="6" borderId="2" applyAlignment="1" pivotButton="0" quotePrefix="0" xfId="1">
      <alignment horizontal="left" vertical="center"/>
    </xf>
    <xf numFmtId="164" fontId="2" fillId="2" borderId="2" applyAlignment="1" pivotButton="0" quotePrefix="0" xfId="1">
      <alignment horizontal="left" vertical="center"/>
    </xf>
    <xf numFmtId="0" fontId="2" fillId="2" borderId="2" applyAlignment="1" pivotButton="0" quotePrefix="0" xfId="1">
      <alignment horizontal="left" vertical="center"/>
    </xf>
    <xf numFmtId="0" fontId="1" fillId="0" borderId="2" applyAlignment="1" pivotButton="0" quotePrefix="0" xfId="1">
      <alignment horizontal="left"/>
    </xf>
    <xf numFmtId="0" fontId="11" fillId="0" borderId="0" pivotButton="0" quotePrefix="0" xfId="0"/>
    <xf numFmtId="0" fontId="11" fillId="9" borderId="0" applyAlignment="1" pivotButton="0" quotePrefix="0" xfId="0">
      <alignment vertical="center" wrapText="1"/>
    </xf>
    <xf numFmtId="0" fontId="1" fillId="10" borderId="2" pivotButton="0" quotePrefix="0" xfId="1"/>
    <xf numFmtId="17" fontId="1" fillId="0" borderId="2" pivotButton="0" quotePrefix="0" xfId="1"/>
    <xf numFmtId="14" fontId="1" fillId="0" borderId="2" pivotButton="0" quotePrefix="0" xfId="1"/>
    <xf numFmtId="0" fontId="7" fillId="8" borderId="0" applyAlignment="1" pivotButton="0" quotePrefix="0" xfId="1">
      <alignment horizontal="center" vertical="center"/>
    </xf>
    <xf numFmtId="0" fontId="5" fillId="8" borderId="0" applyAlignment="1" pivotButton="0" quotePrefix="0" xfId="1">
      <alignment horizontal="center" vertical="center"/>
    </xf>
    <xf numFmtId="0" fontId="5" fillId="8" borderId="1" applyAlignment="1" pivotButton="0" quotePrefix="0" xfId="1">
      <alignment horizontal="center" vertical="center"/>
    </xf>
    <xf numFmtId="0" fontId="7" fillId="8" borderId="1" applyAlignment="1" pivotButton="0" quotePrefix="0" xfId="1">
      <alignment horizontal="center" vertical="center"/>
    </xf>
    <xf numFmtId="0" fontId="0" fillId="0" borderId="1" pivotButton="0" quotePrefix="0" xfId="0"/>
  </cellXfs>
  <cellStyles count="4">
    <cellStyle name="Normal" xfId="0" builtinId="0"/>
    <cellStyle name="Normal 2" xfId="1"/>
    <cellStyle name="Normal 3" xfId="2"/>
    <cellStyle name="Moneda" xfId="3" builtinId="4"/>
  </cellStyles>
  <dxfs count="12">
    <dxf>
      <font>
        <name val="Arial"/>
        <charset val="1"/>
        <b val="1"/>
        <color rgb="FFC00000"/>
      </font>
      <fill>
        <patternFill>
          <bgColor rgb="FFFCE4D6"/>
        </patternFill>
      </fill>
    </dxf>
    <dxf>
      <font>
        <name val="Arial"/>
        <charset val="1"/>
        <b val="1"/>
        <color rgb="FF7F6000"/>
      </font>
      <fill>
        <patternFill>
          <bgColor rgb="FFFFF2CC"/>
        </patternFill>
      </fill>
    </dxf>
    <dxf>
      <font>
        <name val="Arial"/>
        <charset val="1"/>
        <b val="1"/>
        <color rgb="FFC00000"/>
      </font>
      <fill>
        <patternFill>
          <bgColor rgb="FFFCE4D6"/>
        </patternFill>
      </fill>
    </dxf>
    <dxf>
      <font>
        <name val="Arial"/>
        <charset val="1"/>
        <b val="1"/>
        <color rgb="FF7F6000"/>
      </font>
      <fill>
        <patternFill>
          <bgColor rgb="FFFFF2CC"/>
        </patternFill>
      </fill>
    </dxf>
    <dxf>
      <font>
        <name val="Arial"/>
        <charset val="1"/>
        <b val="1"/>
        <color rgb="FFC00000"/>
      </font>
      <fill>
        <patternFill>
          <bgColor rgb="FFFCE4D6"/>
        </patternFill>
      </fill>
    </dxf>
    <dxf>
      <font>
        <name val="Arial"/>
        <charset val="1"/>
        <b val="1"/>
        <color rgb="FF7F6000"/>
      </font>
      <fill>
        <patternFill>
          <bgColor rgb="FFFFF2CC"/>
        </patternFill>
      </fill>
    </dxf>
    <dxf>
      <font>
        <name val="Arial"/>
        <charset val="1"/>
        <b val="1"/>
        <color rgb="FFC00000"/>
      </font>
      <fill>
        <patternFill>
          <bgColor rgb="FFFCE4D6"/>
        </patternFill>
      </fill>
    </dxf>
    <dxf>
      <font>
        <name val="Arial"/>
        <charset val="1"/>
        <b val="1"/>
        <color rgb="FF7F6000"/>
      </font>
      <fill>
        <patternFill>
          <bgColor rgb="FFFFF2CC"/>
        </patternFill>
      </fill>
    </dxf>
    <dxf>
      <font>
        <name val="Arial"/>
        <charset val="1"/>
        <b val="1"/>
        <color rgb="FFC00000"/>
      </font>
      <fill>
        <patternFill>
          <bgColor rgb="FFFCE4D6"/>
        </patternFill>
      </fill>
    </dxf>
    <dxf>
      <font>
        <name val="Arial"/>
        <charset val="1"/>
        <b val="1"/>
        <color rgb="FF7F6000"/>
      </font>
      <fill>
        <patternFill>
          <bgColor rgb="FFFFF2CC"/>
        </patternFill>
      </fill>
    </dxf>
    <dxf>
      <font>
        <name val="Arial"/>
        <charset val="1"/>
        <b val="1"/>
        <color rgb="FF7F6000"/>
      </font>
      <fill>
        <patternFill>
          <bgColor rgb="FFFFF2CC"/>
        </patternFill>
      </fill>
    </dxf>
    <dxf>
      <font>
        <name val="Arial"/>
        <charset val="1"/>
        <b val="1"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1080000</colOff>
      <row>2</row>
      <rowOff>1135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80000" cy="108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tabSelected="1" zoomScale="85" zoomScaleNormal="85" zoomScaleSheetLayoutView="100" workbookViewId="0">
      <pane ySplit="3" topLeftCell="A4" activePane="bottomLeft" state="frozen"/>
      <selection activeCell="I4" sqref="I4:I9"/>
      <selection pane="bottomLeft" activeCell="H3" sqref="H3"/>
    </sheetView>
  </sheetViews>
  <sheetFormatPr baseColWidth="10" defaultColWidth="8.7109375" defaultRowHeight="15"/>
  <cols>
    <col width="50.28515625" bestFit="1" customWidth="1" style="1" min="1" max="1"/>
    <col width="16" customWidth="1" style="1" min="2" max="2"/>
    <col width="20" customWidth="1" style="1" min="3" max="3"/>
    <col width="12" customWidth="1" style="1" min="4" max="5"/>
    <col width="14" customWidth="1" style="1" min="6" max="6"/>
    <col width="15.5703125" bestFit="1" customWidth="1" style="1" min="7" max="7"/>
    <col width="23.140625" customWidth="1" style="1" min="8" max="8"/>
    <col width="64.42578125" customWidth="1" style="1" min="9" max="9"/>
    <col width="16" customWidth="1" style="1" min="10" max="16384"/>
  </cols>
  <sheetData>
    <row r="1" ht="31.5" customHeight="1">
      <c r="A1" s="27" t="n"/>
      <c r="B1" s="29" t="inlineStr">
        <is>
          <t>ALMACÉN MATERIAS PRIMAS SAN JOSÉ DE GRACIA</t>
        </is>
      </c>
    </row>
    <row r="2" ht="54" customHeight="1">
      <c r="A2" s="3" t="n"/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36" customHeight="1">
      <c r="A3" s="6" t="inlineStr">
        <is>
          <t>Descripción</t>
        </is>
      </c>
      <c r="B3" s="6" t="inlineStr">
        <is>
          <t>Categoría</t>
        </is>
      </c>
      <c r="C3" s="6" t="inlineStr">
        <is>
          <t>Proveedor</t>
        </is>
      </c>
      <c r="D3" s="6" t="inlineStr">
        <is>
          <t>Unidad de medida</t>
        </is>
      </c>
      <c r="E3" s="6" t="inlineStr">
        <is>
          <t>CONTEO</t>
        </is>
      </c>
      <c r="F3" s="6" t="inlineStr">
        <is>
          <t>Caducidad vigente</t>
        </is>
      </c>
      <c r="G3" s="6" t="inlineStr">
        <is>
          <t>Lote actual</t>
        </is>
      </c>
      <c r="H3" s="6" t="inlineStr">
        <is>
          <t>entrada erp</t>
        </is>
      </c>
      <c r="I3" s="6" t="inlineStr">
        <is>
          <t>Observaciones</t>
        </is>
      </c>
      <c r="J3" s="6" t="inlineStr">
        <is>
          <t>UBICACIÓN</t>
        </is>
      </c>
    </row>
    <row r="4" ht="18" customHeight="1">
      <c r="A4" s="5" t="inlineStr">
        <is>
          <t>LACA ROJO 40</t>
        </is>
      </c>
      <c r="B4" s="7" t="inlineStr">
        <is>
          <t>Aditivo</t>
        </is>
      </c>
      <c r="C4" s="5" t="inlineStr">
        <is>
          <t>MEDINA</t>
        </is>
      </c>
      <c r="D4" s="8" t="inlineStr">
        <is>
          <t>kg</t>
        </is>
      </c>
      <c r="E4" s="9" t="n">
        <v>1.95</v>
      </c>
      <c r="F4" s="10" t="n">
        <v>46446</v>
      </c>
      <c r="G4" s="8" t="inlineStr">
        <is>
          <t>260K1203</t>
        </is>
      </c>
      <c r="H4" s="8" t="n"/>
      <c r="I4" s="4" t="n"/>
      <c r="J4" s="4" t="n"/>
    </row>
    <row r="5" ht="18" customHeight="1">
      <c r="A5" s="5" t="inlineStr">
        <is>
          <t>LACA ROJO 40</t>
        </is>
      </c>
      <c r="B5" s="7" t="inlineStr">
        <is>
          <t>Aditivo</t>
        </is>
      </c>
      <c r="C5" s="5" t="inlineStr">
        <is>
          <t>MEDINA</t>
        </is>
      </c>
      <c r="D5" s="8" t="inlineStr">
        <is>
          <t>kg</t>
        </is>
      </c>
      <c r="E5" s="9" t="n">
        <v>4</v>
      </c>
      <c r="F5" s="10" t="n">
        <v>46356</v>
      </c>
      <c r="G5" s="8" t="n">
        <v>25030301</v>
      </c>
      <c r="H5" s="8" t="n"/>
      <c r="I5" s="4" t="n"/>
      <c r="J5" s="4" t="n"/>
    </row>
    <row r="6" ht="18" customHeight="1">
      <c r="A6" s="5" t="inlineStr">
        <is>
          <t>Sabor artificial en polvo platano 442</t>
        </is>
      </c>
      <c r="B6" s="7" t="inlineStr">
        <is>
          <t>Aditivo</t>
        </is>
      </c>
      <c r="C6" s="5" t="inlineStr">
        <is>
          <t>Multisabores</t>
        </is>
      </c>
      <c r="D6" s="8" t="inlineStr">
        <is>
          <t>kg</t>
        </is>
      </c>
      <c r="E6" s="9" t="n">
        <v>50</v>
      </c>
      <c r="F6" s="10" t="n">
        <v>46569</v>
      </c>
      <c r="G6" s="10" t="inlineStr">
        <is>
          <t>SC442230726</t>
        </is>
      </c>
      <c r="H6" s="10" t="n"/>
      <c r="I6" s="4" t="n"/>
      <c r="J6" s="4" t="n"/>
    </row>
    <row r="7" ht="18" customHeight="1">
      <c r="A7" s="5" t="inlineStr">
        <is>
          <t>Sabor artificial en polvo platano 442</t>
        </is>
      </c>
      <c r="B7" s="7" t="inlineStr">
        <is>
          <t>Aditivo</t>
        </is>
      </c>
      <c r="C7" s="5" t="inlineStr">
        <is>
          <t>Multisabores</t>
        </is>
      </c>
      <c r="D7" s="8" t="inlineStr">
        <is>
          <t>kg</t>
        </is>
      </c>
      <c r="E7" s="9" t="n">
        <v>150</v>
      </c>
      <c r="F7" s="10" t="n">
        <v>46547</v>
      </c>
      <c r="G7" s="10" t="inlineStr">
        <is>
          <t>sc4421140926in</t>
        </is>
      </c>
      <c r="H7" s="10" t="n"/>
      <c r="I7" s="4" t="n"/>
      <c r="J7" s="4" t="n"/>
    </row>
    <row r="8" ht="18" customHeight="1">
      <c r="A8" s="5" t="inlineStr">
        <is>
          <t>SABOR CAPUCHINO</t>
        </is>
      </c>
      <c r="B8" s="7" t="inlineStr">
        <is>
          <t>Aditivo</t>
        </is>
      </c>
      <c r="C8" s="5" t="inlineStr">
        <is>
          <t>MEDINA</t>
        </is>
      </c>
      <c r="D8" s="8" t="inlineStr">
        <is>
          <t>kg</t>
        </is>
      </c>
      <c r="E8" s="9" t="n">
        <v>30</v>
      </c>
      <c r="F8" s="10" t="n">
        <v>46022</v>
      </c>
      <c r="G8" s="8" t="n">
        <v>25062504</v>
      </c>
      <c r="H8" s="8" t="n"/>
      <c r="I8" s="4" t="n"/>
      <c r="J8" s="4" t="n"/>
    </row>
    <row r="9" ht="18" customHeight="1">
      <c r="A9" s="5" t="inlineStr">
        <is>
          <t>SABOR FRESA</t>
        </is>
      </c>
      <c r="B9" s="7" t="inlineStr">
        <is>
          <t>Aditivo</t>
        </is>
      </c>
      <c r="C9" s="5" t="inlineStr">
        <is>
          <t>Medina</t>
        </is>
      </c>
      <c r="D9" s="8" t="inlineStr">
        <is>
          <t>kg</t>
        </is>
      </c>
      <c r="E9" s="9" t="n">
        <v>324</v>
      </c>
      <c r="F9" s="10" t="n">
        <v>46418</v>
      </c>
      <c r="G9" s="8" t="n">
        <v>26080507</v>
      </c>
      <c r="H9" s="8" t="n"/>
      <c r="I9" s="4" t="n"/>
      <c r="J9" s="4" t="n"/>
    </row>
    <row r="10" ht="18" customHeight="1">
      <c r="A10" s="5" t="inlineStr">
        <is>
          <t>SABOR FRUTOS ROJOS</t>
        </is>
      </c>
      <c r="B10" s="7" t="inlineStr">
        <is>
          <t>Aditivo</t>
        </is>
      </c>
      <c r="C10" s="5" t="inlineStr">
        <is>
          <t>MEDINA</t>
        </is>
      </c>
      <c r="D10" s="8" t="inlineStr">
        <is>
          <t>kg</t>
        </is>
      </c>
      <c r="E10" s="9" t="n">
        <v>270</v>
      </c>
      <c r="F10" s="10" t="n">
        <v>46419</v>
      </c>
      <c r="G10" s="8" t="n">
        <v>26082509</v>
      </c>
      <c r="H10" s="8" t="n"/>
      <c r="I10" s="4" t="n"/>
      <c r="J10" s="4" t="n"/>
    </row>
    <row r="11" ht="18" customHeight="1">
      <c r="A11" s="5" t="inlineStr">
        <is>
          <t>SABOR LIMON</t>
        </is>
      </c>
      <c r="B11" s="7" t="inlineStr">
        <is>
          <t>Aditivo</t>
        </is>
      </c>
      <c r="C11" s="5" t="inlineStr">
        <is>
          <t>MEDINA</t>
        </is>
      </c>
      <c r="D11" s="8" t="inlineStr">
        <is>
          <t>kg</t>
        </is>
      </c>
      <c r="E11" s="9" t="n">
        <v>40</v>
      </c>
      <c r="F11" s="10" t="n">
        <v>45930</v>
      </c>
      <c r="G11" s="8" t="n">
        <v>26042107</v>
      </c>
      <c r="H11" s="8" t="n"/>
      <c r="I11" s="4" t="n"/>
      <c r="J11" s="4" t="n"/>
    </row>
    <row r="12" ht="18" customHeight="1">
      <c r="A12" s="5" t="inlineStr">
        <is>
          <t>SABOR LIMON</t>
        </is>
      </c>
      <c r="B12" s="7" t="inlineStr">
        <is>
          <t>Aditivo</t>
        </is>
      </c>
      <c r="C12" s="5" t="inlineStr">
        <is>
          <t>MEDINA</t>
        </is>
      </c>
      <c r="D12" s="8" t="inlineStr">
        <is>
          <t>kg</t>
        </is>
      </c>
      <c r="E12" s="9" t="n">
        <v>10</v>
      </c>
      <c r="F12" s="10" t="n">
        <v>45930</v>
      </c>
      <c r="G12" s="8" t="n">
        <v>25030505</v>
      </c>
      <c r="H12" s="8" t="n"/>
      <c r="I12" s="4" t="n"/>
      <c r="J12" s="4" t="n"/>
    </row>
    <row r="13" ht="18" customHeight="1">
      <c r="A13" s="5" t="inlineStr">
        <is>
          <t>SABOR NUEZ</t>
        </is>
      </c>
      <c r="B13" s="7" t="inlineStr">
        <is>
          <t>Aditivo</t>
        </is>
      </c>
      <c r="C13" s="5" t="inlineStr">
        <is>
          <t>MEDINA</t>
        </is>
      </c>
      <c r="D13" s="8" t="inlineStr">
        <is>
          <t>kg</t>
        </is>
      </c>
      <c r="E13" s="9" t="n">
        <v>21.5</v>
      </c>
      <c r="F13" s="10" t="n">
        <v>46356</v>
      </c>
      <c r="G13" s="8" t="n">
        <v>33041019614</v>
      </c>
      <c r="H13" s="8" t="n"/>
      <c r="I13" s="4" t="n"/>
      <c r="J13" s="4" t="n"/>
    </row>
    <row r="14" ht="18" customHeight="1">
      <c r="A14" s="5" t="inlineStr">
        <is>
          <t>SABOR NUEZ</t>
        </is>
      </c>
      <c r="B14" s="7" t="inlineStr">
        <is>
          <t>Aditivo</t>
        </is>
      </c>
      <c r="C14" s="5" t="inlineStr">
        <is>
          <t>DEIMAN</t>
        </is>
      </c>
      <c r="D14" s="8" t="inlineStr">
        <is>
          <t>kg</t>
        </is>
      </c>
      <c r="E14" s="9" t="n">
        <v>40</v>
      </c>
      <c r="F14" s="10" t="n">
        <v>46904</v>
      </c>
      <c r="G14" s="8" t="n">
        <v>220528</v>
      </c>
      <c r="H14" s="8" t="n"/>
      <c r="I14" s="4" t="n"/>
      <c r="J14" s="4" t="n"/>
    </row>
    <row r="15" ht="18" customHeight="1">
      <c r="A15" s="5" t="inlineStr">
        <is>
          <t>SABOR NUEZ</t>
        </is>
      </c>
      <c r="B15" s="7" t="inlineStr">
        <is>
          <t>Aditivo</t>
        </is>
      </c>
      <c r="C15" s="5" t="inlineStr">
        <is>
          <t>DEIMAN</t>
        </is>
      </c>
      <c r="D15" s="8" t="inlineStr">
        <is>
          <t>kg</t>
        </is>
      </c>
      <c r="E15" s="9" t="n">
        <v>8</v>
      </c>
      <c r="F15" s="10" t="n">
        <v>46173</v>
      </c>
      <c r="G15" s="8" t="n">
        <v>301126</v>
      </c>
      <c r="H15" s="8" t="n"/>
      <c r="I15" s="4" t="n"/>
      <c r="J15" s="4" t="n"/>
    </row>
    <row r="16" ht="18" customHeight="1">
      <c r="A16" s="5" t="inlineStr">
        <is>
          <t>SABOR SANDIA</t>
        </is>
      </c>
      <c r="B16" s="7" t="inlineStr">
        <is>
          <t>Aditivo</t>
        </is>
      </c>
      <c r="C16" s="5" t="inlineStr">
        <is>
          <t>MEDINA</t>
        </is>
      </c>
      <c r="D16" s="8" t="inlineStr">
        <is>
          <t>kg</t>
        </is>
      </c>
      <c r="E16" s="9" t="n">
        <v>22</v>
      </c>
      <c r="F16" s="10" t="n">
        <v>45900</v>
      </c>
      <c r="G16" s="8" t="n">
        <v>25021303</v>
      </c>
      <c r="H16" s="8" t="n"/>
      <c r="I16" s="4" t="n"/>
      <c r="J16" s="4" t="n"/>
    </row>
    <row r="17" ht="18" customHeight="1">
      <c r="A17" s="5" t="inlineStr">
        <is>
          <t>SABOR SANDIA</t>
        </is>
      </c>
      <c r="B17" s="7" t="inlineStr">
        <is>
          <t>Aditivo</t>
        </is>
      </c>
      <c r="C17" s="5" t="inlineStr">
        <is>
          <t>MEDINA</t>
        </is>
      </c>
      <c r="D17" s="8" t="inlineStr">
        <is>
          <t>kg</t>
        </is>
      </c>
      <c r="E17" s="9" t="n">
        <v>9</v>
      </c>
      <c r="F17" s="10" t="n">
        <v>46265</v>
      </c>
      <c r="G17" s="8" t="n">
        <v>26021609</v>
      </c>
      <c r="H17" s="8" t="n"/>
      <c r="I17" s="4" t="n"/>
      <c r="J17" s="4" t="n"/>
    </row>
    <row r="18" ht="18" customHeight="1">
      <c r="A18" s="5" t="inlineStr">
        <is>
          <t>SABOR VAINILLA BELL</t>
        </is>
      </c>
      <c r="B18" s="7" t="inlineStr">
        <is>
          <t>Aditivo</t>
        </is>
      </c>
      <c r="C18" s="5" t="inlineStr">
        <is>
          <t>BELL</t>
        </is>
      </c>
      <c r="D18" s="8" t="inlineStr">
        <is>
          <t>kg</t>
        </is>
      </c>
      <c r="E18" s="9" t="n">
        <v>15.9</v>
      </c>
      <c r="F18" s="10" t="n">
        <v>46082</v>
      </c>
      <c r="G18" s="8" t="inlineStr">
        <is>
          <t>PBN000013075</t>
        </is>
      </c>
      <c r="H18" s="8" t="n"/>
      <c r="I18" s="4" t="inlineStr">
        <is>
          <t>MAL SURTIDO EN ERP SE TOME DE LOTE PVN4022324</t>
        </is>
      </c>
      <c r="J18" s="4" t="n"/>
    </row>
    <row r="19" ht="18" customHeight="1">
      <c r="A19" s="5" t="inlineStr">
        <is>
          <t>SABOR VAINILLA BELL</t>
        </is>
      </c>
      <c r="B19" s="7" t="inlineStr">
        <is>
          <t>Aditivo</t>
        </is>
      </c>
      <c r="C19" s="5" t="inlineStr">
        <is>
          <t>BELL</t>
        </is>
      </c>
      <c r="D19" s="8" t="inlineStr">
        <is>
          <t>kg</t>
        </is>
      </c>
      <c r="E19" s="9" t="n">
        <v>60</v>
      </c>
      <c r="F19" s="10" t="n">
        <v>46477</v>
      </c>
      <c r="G19" s="8" t="inlineStr">
        <is>
          <t>PVN4022324</t>
        </is>
      </c>
      <c r="H19" s="8" t="n"/>
      <c r="I19" s="4" t="n"/>
      <c r="J19" s="4" t="n"/>
    </row>
    <row r="20" ht="18" customHeight="1">
      <c r="A20" s="5" t="inlineStr">
        <is>
          <t>SABORIZANTE CAPUCHINO</t>
        </is>
      </c>
      <c r="B20" s="7" t="inlineStr">
        <is>
          <t>Aditivo</t>
        </is>
      </c>
      <c r="C20" s="5" t="inlineStr">
        <is>
          <t>MEDINA</t>
        </is>
      </c>
      <c r="D20" s="8" t="inlineStr">
        <is>
          <t>kg</t>
        </is>
      </c>
      <c r="E20" s="9" t="n">
        <v>13</v>
      </c>
      <c r="F20" s="10" t="n">
        <v>45992</v>
      </c>
      <c r="G20" s="8" t="n">
        <v>25061612</v>
      </c>
      <c r="H20" s="8" t="n"/>
      <c r="I20" s="4" t="n"/>
      <c r="J20" s="4" t="n"/>
    </row>
    <row r="21" ht="18" customHeight="1">
      <c r="A21" s="5" t="inlineStr">
        <is>
          <t>SABORIZANTE LIMA</t>
        </is>
      </c>
      <c r="B21" s="7" t="inlineStr">
        <is>
          <t>Aditivo</t>
        </is>
      </c>
      <c r="C21" s="5" t="inlineStr">
        <is>
          <t>MEDINA</t>
        </is>
      </c>
      <c r="D21" s="8" t="inlineStr">
        <is>
          <t>kg</t>
        </is>
      </c>
      <c r="E21" s="9" t="n">
        <v>10</v>
      </c>
      <c r="F21" s="10" t="n">
        <v>46326</v>
      </c>
      <c r="G21" s="8" t="n">
        <v>26042208</v>
      </c>
      <c r="H21" s="8" t="n"/>
      <c r="I21" s="4" t="n"/>
      <c r="J21" s="4" t="n"/>
    </row>
    <row r="22" ht="18" customHeight="1">
      <c r="A22" s="5" t="inlineStr">
        <is>
          <t>SABORIZANTE NARANJA</t>
        </is>
      </c>
      <c r="B22" s="7" t="inlineStr">
        <is>
          <t>Aditivo</t>
        </is>
      </c>
      <c r="C22" s="5" t="inlineStr">
        <is>
          <t>MEDINA</t>
        </is>
      </c>
      <c r="D22" s="8" t="inlineStr">
        <is>
          <t>kg</t>
        </is>
      </c>
      <c r="E22" s="9" t="n">
        <v>30</v>
      </c>
      <c r="F22" s="10" t="n">
        <v>46142</v>
      </c>
      <c r="G22" s="8" t="n">
        <v>25102412</v>
      </c>
      <c r="H22" s="8" t="n"/>
      <c r="I22" s="4" t="n"/>
      <c r="J22" s="4" t="n"/>
    </row>
    <row r="23" ht="18" customHeight="1">
      <c r="A23" s="5" t="inlineStr">
        <is>
          <t>SABORIZANTE NARANJA</t>
        </is>
      </c>
      <c r="B23" s="7" t="inlineStr">
        <is>
          <t>Aditivo</t>
        </is>
      </c>
      <c r="C23" s="5" t="inlineStr">
        <is>
          <t>MEDINA</t>
        </is>
      </c>
      <c r="D23" s="8" t="inlineStr">
        <is>
          <t>kg</t>
        </is>
      </c>
      <c r="E23" s="9" t="n">
        <v>10</v>
      </c>
      <c r="F23" s="10" t="n">
        <v>46142</v>
      </c>
      <c r="G23" s="8" t="n">
        <v>25100903</v>
      </c>
      <c r="H23" s="8" t="n"/>
      <c r="I23" s="4" t="n"/>
      <c r="J23" s="4" t="n"/>
    </row>
    <row r="24" ht="18" customHeight="1">
      <c r="A24" s="5" t="inlineStr">
        <is>
          <t>VAINILLINA</t>
        </is>
      </c>
      <c r="B24" s="7" t="inlineStr">
        <is>
          <t>Aditivo</t>
        </is>
      </c>
      <c r="C24" s="5" t="inlineStr">
        <is>
          <t>MEDINA</t>
        </is>
      </c>
      <c r="D24" s="8" t="inlineStr">
        <is>
          <t>kg</t>
        </is>
      </c>
      <c r="E24" s="9" t="n">
        <v>23</v>
      </c>
      <c r="F24" s="10" t="n">
        <v>46630</v>
      </c>
      <c r="G24" s="8" t="n">
        <v>26080510</v>
      </c>
      <c r="H24" s="8" t="n"/>
      <c r="I24" s="4" t="n"/>
      <c r="J24" s="4" t="n"/>
    </row>
    <row r="25" ht="18" customHeight="1">
      <c r="A25" s="5" t="inlineStr">
        <is>
          <t>ACIDO ASPARTICO</t>
        </is>
      </c>
      <c r="B25" s="7" t="inlineStr">
        <is>
          <t>Aminoácido</t>
        </is>
      </c>
      <c r="C25" s="5" t="inlineStr">
        <is>
          <t>AMERICA ALIMENTOS</t>
        </is>
      </c>
      <c r="D25" s="8" t="inlineStr">
        <is>
          <t>kg</t>
        </is>
      </c>
      <c r="E25" s="9">
        <f>16.46+24.14+25</f>
        <v/>
      </c>
      <c r="F25" s="10" t="n">
        <v>46081</v>
      </c>
      <c r="G25" s="8" t="n">
        <v>20251022</v>
      </c>
      <c r="H25" s="8" t="n"/>
      <c r="I25" s="4" t="n"/>
      <c r="J25" s="4" t="n"/>
    </row>
    <row r="26" ht="18" customHeight="1">
      <c r="A26" s="5" t="inlineStr">
        <is>
          <t>ACIDO GLUTAMICO</t>
        </is>
      </c>
      <c r="B26" s="7" t="inlineStr">
        <is>
          <t>Aminoácido</t>
        </is>
      </c>
      <c r="C26" s="5" t="inlineStr">
        <is>
          <t>AMERICA ALIMENTOS</t>
        </is>
      </c>
      <c r="D26" s="8" t="inlineStr">
        <is>
          <t>kg</t>
        </is>
      </c>
      <c r="E26" s="9" t="n">
        <v>33</v>
      </c>
      <c r="F26" s="10" t="n">
        <v>46463</v>
      </c>
      <c r="G26" s="8" t="n">
        <v>20250318</v>
      </c>
      <c r="H26" s="22" t="inlineStr">
        <is>
          <t>MP-26-728</t>
        </is>
      </c>
      <c r="I26" s="4" t="n"/>
      <c r="J26" s="4" t="n"/>
    </row>
    <row r="27" ht="18" customHeight="1">
      <c r="A27" s="5" t="inlineStr">
        <is>
          <t>ACIDO GLUTAMICO</t>
        </is>
      </c>
      <c r="B27" s="7" t="inlineStr">
        <is>
          <t>Aminoácido</t>
        </is>
      </c>
      <c r="C27" s="5" t="inlineStr">
        <is>
          <t>AMERICA ALIMENTOS</t>
        </is>
      </c>
      <c r="D27" s="8" t="inlineStr">
        <is>
          <t>kg</t>
        </is>
      </c>
      <c r="E27" s="9" t="n">
        <v>100</v>
      </c>
      <c r="F27" s="10" t="n">
        <v>46599</v>
      </c>
      <c r="G27" s="8" t="inlineStr">
        <is>
          <t>KL250703</t>
        </is>
      </c>
      <c r="H27" s="22" t="inlineStr">
        <is>
          <t>MP-26-780</t>
        </is>
      </c>
      <c r="I27" s="4" t="n"/>
      <c r="J27" s="4" t="n"/>
    </row>
    <row r="28" ht="18" customHeight="1">
      <c r="A28" s="5" t="inlineStr">
        <is>
          <t>ALANINA</t>
        </is>
      </c>
      <c r="B28" s="7" t="inlineStr">
        <is>
          <t>Aminoácido</t>
        </is>
      </c>
      <c r="C28" s="5" t="inlineStr">
        <is>
          <t>TCA</t>
        </is>
      </c>
      <c r="D28" s="8" t="inlineStr">
        <is>
          <t>kg</t>
        </is>
      </c>
      <c r="E28" s="9" t="n">
        <v>250</v>
      </c>
      <c r="F28" s="10" t="n">
        <v>46313</v>
      </c>
      <c r="G28" s="8" t="n">
        <v>3062410026</v>
      </c>
      <c r="H28" s="8" t="inlineStr">
        <is>
          <t>26-MP-713</t>
        </is>
      </c>
      <c r="I28" s="4" t="n"/>
      <c r="J28" s="4" t="n"/>
    </row>
    <row r="29" ht="18" customHeight="1">
      <c r="A29" s="5" t="inlineStr">
        <is>
          <t>ARGININA</t>
        </is>
      </c>
      <c r="B29" s="7" t="inlineStr">
        <is>
          <t>Aminoácido</t>
        </is>
      </c>
      <c r="C29" s="5" t="inlineStr">
        <is>
          <t>DVA</t>
        </is>
      </c>
      <c r="D29" s="8" t="inlineStr">
        <is>
          <t>kg</t>
        </is>
      </c>
      <c r="E29" s="9" t="n">
        <v>294.75</v>
      </c>
      <c r="F29" s="10" t="n">
        <v>46337</v>
      </c>
      <c r="G29" s="8" t="n">
        <v>5202411021</v>
      </c>
      <c r="H29" s="8" t="n"/>
      <c r="I29" s="4" t="n"/>
      <c r="J29" s="4" t="n"/>
    </row>
    <row r="30" ht="18" customHeight="1">
      <c r="A30" s="5" t="inlineStr">
        <is>
          <t>BETA ALANINA</t>
        </is>
      </c>
      <c r="B30" s="7" t="inlineStr">
        <is>
          <t>Aminoácido</t>
        </is>
      </c>
      <c r="C30" s="5" t="inlineStr">
        <is>
          <t>TCA</t>
        </is>
      </c>
      <c r="D30" s="8" t="inlineStr">
        <is>
          <t>kg</t>
        </is>
      </c>
      <c r="E30" s="9" t="n">
        <v>25</v>
      </c>
      <c r="F30" s="10" t="n">
        <v>46752</v>
      </c>
      <c r="G30" s="8" t="inlineStr">
        <is>
          <t>KC251226</t>
        </is>
      </c>
      <c r="H30" s="8" t="inlineStr">
        <is>
          <t>26-MP-810</t>
        </is>
      </c>
      <c r="I30" s="4" t="n"/>
      <c r="J30" s="4" t="n"/>
    </row>
    <row r="31" ht="18" customHeight="1">
      <c r="A31" s="5" t="inlineStr">
        <is>
          <t>BETA ALANINA</t>
        </is>
      </c>
      <c r="B31" s="7" t="inlineStr">
        <is>
          <t>Aminoácido</t>
        </is>
      </c>
      <c r="C31" s="5" t="inlineStr">
        <is>
          <t>TCA</t>
        </is>
      </c>
      <c r="D31" s="8" t="inlineStr">
        <is>
          <t>kg</t>
        </is>
      </c>
      <c r="E31" s="9" t="n">
        <v>20</v>
      </c>
      <c r="F31" s="10" t="n">
        <v>46296</v>
      </c>
      <c r="G31" s="8" t="n">
        <v>107241003</v>
      </c>
      <c r="H31" s="8" t="inlineStr">
        <is>
          <t>26-MP-732</t>
        </is>
      </c>
      <c r="I31" s="4" t="n"/>
      <c r="J31" s="4" t="n"/>
    </row>
    <row r="32" ht="18" customHeight="1">
      <c r="A32" s="5" t="inlineStr">
        <is>
          <t>BITARTRATO DE COLINA</t>
        </is>
      </c>
      <c r="B32" s="7" t="inlineStr">
        <is>
          <t>Aminoácido</t>
        </is>
      </c>
      <c r="C32" s="5" t="inlineStr">
        <is>
          <t>TCA</t>
        </is>
      </c>
      <c r="D32" s="8" t="inlineStr">
        <is>
          <t>kg</t>
        </is>
      </c>
      <c r="E32" s="9" t="n">
        <v>24.6</v>
      </c>
      <c r="F32" s="10" t="n">
        <v>47242</v>
      </c>
      <c r="G32" s="8" t="n">
        <v>3029476</v>
      </c>
      <c r="H32" s="21" t="inlineStr">
        <is>
          <t>26-MP-779</t>
        </is>
      </c>
      <c r="I32" s="4" t="n"/>
      <c r="J32" s="4" t="n"/>
    </row>
    <row r="33" ht="18" customHeight="1">
      <c r="A33" s="5" t="inlineStr">
        <is>
          <t>FENILALANINA</t>
        </is>
      </c>
      <c r="B33" s="7" t="inlineStr">
        <is>
          <t>Aminoácido</t>
        </is>
      </c>
      <c r="C33" s="5" t="inlineStr">
        <is>
          <t>DVA</t>
        </is>
      </c>
      <c r="D33" s="8" t="inlineStr">
        <is>
          <t>kg</t>
        </is>
      </c>
      <c r="E33" s="9" t="n">
        <v>362</v>
      </c>
      <c r="F33" s="10" t="n">
        <v>46326</v>
      </c>
      <c r="G33" s="8" t="n">
        <v>2182410019</v>
      </c>
      <c r="H33" s="8" t="inlineStr">
        <is>
          <t>26-MP-725</t>
        </is>
      </c>
      <c r="I33" s="4" t="inlineStr">
        <is>
          <t>FALTA UN 1 EN EL LOTE</t>
        </is>
      </c>
      <c r="J33" s="4" t="n"/>
    </row>
    <row r="34" ht="18" customHeight="1">
      <c r="A34" s="5" t="inlineStr">
        <is>
          <t>GLICINA</t>
        </is>
      </c>
      <c r="B34" s="7" t="inlineStr">
        <is>
          <t>Aminoácido</t>
        </is>
      </c>
      <c r="C34" s="5" t="inlineStr">
        <is>
          <t>TCA</t>
        </is>
      </c>
      <c r="D34" s="8" t="inlineStr">
        <is>
          <t>kg</t>
        </is>
      </c>
      <c r="E34" s="9" t="n">
        <v>208</v>
      </c>
      <c r="F34" s="10" t="n">
        <v>46372</v>
      </c>
      <c r="G34" s="8" t="n">
        <v>1082412040</v>
      </c>
      <c r="H34" s="8" t="inlineStr">
        <is>
          <t>26-MP-714</t>
        </is>
      </c>
      <c r="I34" s="4" t="n"/>
      <c r="J34" s="4" t="n"/>
    </row>
    <row r="35" ht="18" customHeight="1">
      <c r="A35" s="5" t="inlineStr">
        <is>
          <t>GLUTAMINA</t>
        </is>
      </c>
      <c r="B35" s="7" t="inlineStr">
        <is>
          <t>Aminoácido</t>
        </is>
      </c>
      <c r="C35" s="5" t="inlineStr">
        <is>
          <t>TCA</t>
        </is>
      </c>
      <c r="D35" s="8" t="inlineStr">
        <is>
          <t>kg</t>
        </is>
      </c>
      <c r="E35" s="9" t="n">
        <v>75</v>
      </c>
      <c r="F35" s="10" t="n">
        <v>46721</v>
      </c>
      <c r="G35" s="8" t="n">
        <v>20251108</v>
      </c>
      <c r="H35" s="8" t="inlineStr">
        <is>
          <t>26-MP-900 Y 26-MP-807</t>
        </is>
      </c>
      <c r="I35" s="4" t="n"/>
      <c r="J35" s="4" t="n"/>
    </row>
    <row r="36" ht="18" customHeight="1">
      <c r="A36" s="5" t="inlineStr">
        <is>
          <t>GLUTAMINA</t>
        </is>
      </c>
      <c r="B36" s="7" t="inlineStr">
        <is>
          <t>Aminoácido</t>
        </is>
      </c>
      <c r="C36" s="5" t="inlineStr">
        <is>
          <t>TCA</t>
        </is>
      </c>
      <c r="D36" s="8" t="inlineStr">
        <is>
          <t>kg</t>
        </is>
      </c>
      <c r="E36" s="9" t="n">
        <v>3</v>
      </c>
      <c r="F36" s="10" t="n">
        <v>46563</v>
      </c>
      <c r="G36" s="8" t="n">
        <v>20250608</v>
      </c>
      <c r="H36" s="8" t="inlineStr">
        <is>
          <t>26-MP-803</t>
        </is>
      </c>
      <c r="I36" s="4" t="n"/>
      <c r="J36" s="4" t="n"/>
    </row>
    <row r="37" ht="18" customHeight="1">
      <c r="A37" s="5" t="inlineStr">
        <is>
          <t>ISOLEUCINA</t>
        </is>
      </c>
      <c r="B37" s="7" t="inlineStr">
        <is>
          <t>Aminoácido</t>
        </is>
      </c>
      <c r="C37" s="5" t="inlineStr">
        <is>
          <t>TCA</t>
        </is>
      </c>
      <c r="D37" s="8" t="inlineStr">
        <is>
          <t>kg</t>
        </is>
      </c>
      <c r="E37" s="9" t="n">
        <v>68.40000000000001</v>
      </c>
      <c r="F37" s="10" t="n">
        <v>47063</v>
      </c>
      <c r="G37" s="8" t="inlineStr">
        <is>
          <t>KC251107</t>
        </is>
      </c>
      <c r="H37" s="8" t="inlineStr">
        <is>
          <t>26-mp-733</t>
        </is>
      </c>
      <c r="I37" s="4" t="n"/>
      <c r="J37" s="4" t="n"/>
    </row>
    <row r="38">
      <c r="A38" s="5" t="inlineStr">
        <is>
          <t>L CARNITINA</t>
        </is>
      </c>
      <c r="B38" s="7" t="inlineStr">
        <is>
          <t>Aminoácido</t>
        </is>
      </c>
      <c r="C38" s="5" t="inlineStr">
        <is>
          <t>TCA</t>
        </is>
      </c>
      <c r="D38" s="8" t="inlineStr">
        <is>
          <t>kg</t>
        </is>
      </c>
      <c r="E38" s="9" t="n">
        <v>0</v>
      </c>
      <c r="F38" s="10" t="n">
        <v>46173</v>
      </c>
      <c r="G38" s="8" t="inlineStr">
        <is>
          <t>318110KC240528</t>
        </is>
      </c>
      <c r="H38" s="8" t="n"/>
      <c r="I38" s="4" t="n"/>
      <c r="J38" s="4" t="n"/>
    </row>
    <row r="39">
      <c r="A39" s="5" t="inlineStr">
        <is>
          <t>L CARNITINA</t>
        </is>
      </c>
      <c r="B39" s="7" t="inlineStr">
        <is>
          <t>Aminoácido</t>
        </is>
      </c>
      <c r="C39" s="5" t="inlineStr">
        <is>
          <t>TCA</t>
        </is>
      </c>
      <c r="D39" s="8" t="inlineStr">
        <is>
          <t>kg</t>
        </is>
      </c>
      <c r="E39" s="9" t="n">
        <v>18.5</v>
      </c>
      <c r="F39" s="10" t="n">
        <v>46476</v>
      </c>
      <c r="G39" s="8" t="inlineStr">
        <is>
          <t>KC250331</t>
        </is>
      </c>
      <c r="H39" s="22" t="inlineStr">
        <is>
          <t>26-MP-833</t>
        </is>
      </c>
      <c r="I39" s="4" t="n"/>
      <c r="J39" s="4" t="n"/>
    </row>
    <row r="40">
      <c r="A40" s="5" t="inlineStr">
        <is>
          <t>L CISTINA</t>
        </is>
      </c>
      <c r="B40" s="7" t="inlineStr">
        <is>
          <t>Aminoácido</t>
        </is>
      </c>
      <c r="C40" s="5" t="inlineStr">
        <is>
          <t>TCA</t>
        </is>
      </c>
      <c r="D40" s="8" t="inlineStr">
        <is>
          <t>kg</t>
        </is>
      </c>
      <c r="E40" s="9" t="n">
        <v>51.7</v>
      </c>
      <c r="F40" s="10" t="n">
        <v>46356</v>
      </c>
      <c r="G40" s="8" t="n">
        <v>2242411001</v>
      </c>
      <c r="H40" s="8" t="inlineStr">
        <is>
          <t>MP-26-781</t>
        </is>
      </c>
      <c r="I40" s="4" t="n"/>
      <c r="J40" s="4" t="n"/>
    </row>
    <row r="41">
      <c r="A41" s="5" t="inlineStr">
        <is>
          <t>L HISTIDINA</t>
        </is>
      </c>
      <c r="B41" s="7" t="inlineStr">
        <is>
          <t>Aminoácido</t>
        </is>
      </c>
      <c r="C41" s="5" t="inlineStr">
        <is>
          <t>DVA</t>
        </is>
      </c>
      <c r="D41" s="8" t="inlineStr">
        <is>
          <t>kg</t>
        </is>
      </c>
      <c r="E41" s="9" t="n">
        <v>235</v>
      </c>
      <c r="F41" s="10" t="n">
        <v>46358</v>
      </c>
      <c r="G41" s="8" t="inlineStr">
        <is>
          <t xml:space="preserve">	3562411001</t>
        </is>
      </c>
      <c r="H41" s="22" t="inlineStr">
        <is>
          <t>26-MP-730</t>
        </is>
      </c>
      <c r="I41" s="4" t="n"/>
      <c r="J41" s="4" t="n"/>
    </row>
    <row r="42">
      <c r="A42" s="5" t="inlineStr">
        <is>
          <t>L TRIPTOFANO</t>
        </is>
      </c>
      <c r="B42" s="7" t="inlineStr">
        <is>
          <t>Aminoácido</t>
        </is>
      </c>
      <c r="C42" s="5" t="inlineStr">
        <is>
          <t>DVA</t>
        </is>
      </c>
      <c r="D42" s="8" t="inlineStr">
        <is>
          <t>kg</t>
        </is>
      </c>
      <c r="E42" s="9">
        <f>72.8+16</f>
        <v/>
      </c>
      <c r="F42" s="10" t="n">
        <v>46378</v>
      </c>
      <c r="G42" s="8" t="n">
        <v>5102412001</v>
      </c>
      <c r="H42" s="8" t="inlineStr">
        <is>
          <t>26-MP-731</t>
        </is>
      </c>
      <c r="I42" s="4" t="n"/>
      <c r="J42" s="4" t="n"/>
    </row>
    <row r="43">
      <c r="A43" s="5" t="inlineStr">
        <is>
          <t>LEUCINA</t>
        </is>
      </c>
      <c r="B43" s="7" t="inlineStr">
        <is>
          <t>Aminoácido</t>
        </is>
      </c>
      <c r="C43" s="5" t="inlineStr">
        <is>
          <t>TCA</t>
        </is>
      </c>
      <c r="D43" s="8" t="inlineStr">
        <is>
          <t>kg</t>
        </is>
      </c>
      <c r="E43" s="9" t="n">
        <v>250</v>
      </c>
      <c r="F43" s="10" t="n">
        <v>46736</v>
      </c>
      <c r="G43" s="8" t="inlineStr">
        <is>
          <t>KC251216</t>
        </is>
      </c>
      <c r="H43" s="8" t="n"/>
      <c r="I43" s="4" t="n"/>
      <c r="J43" s="4" t="n"/>
    </row>
    <row r="44">
      <c r="A44" s="23" t="inlineStr">
        <is>
          <t>METIONINA</t>
        </is>
      </c>
      <c r="B44" s="7" t="inlineStr">
        <is>
          <t>Aminoácido</t>
        </is>
      </c>
      <c r="C44" s="5" t="inlineStr">
        <is>
          <t>TCA</t>
        </is>
      </c>
      <c r="D44" s="8" t="inlineStr">
        <is>
          <t>kg</t>
        </is>
      </c>
      <c r="E44" s="9" t="n">
        <v>100</v>
      </c>
      <c r="F44" s="10" t="n">
        <v>46392</v>
      </c>
      <c r="G44" s="8" t="inlineStr">
        <is>
          <t>KC250106</t>
        </is>
      </c>
      <c r="H44" s="8" t="inlineStr">
        <is>
          <t>26-mp-785</t>
        </is>
      </c>
      <c r="I44" s="4" t="n"/>
      <c r="J44" s="4" t="n"/>
    </row>
    <row r="45">
      <c r="A45" s="23" t="inlineStr">
        <is>
          <t>METIONINA</t>
        </is>
      </c>
      <c r="B45" s="7" t="inlineStr">
        <is>
          <t>Aminoácido</t>
        </is>
      </c>
      <c r="C45" s="5" t="inlineStr">
        <is>
          <t>TCA</t>
        </is>
      </c>
      <c r="D45" s="8" t="inlineStr">
        <is>
          <t>kg</t>
        </is>
      </c>
      <c r="E45" s="9" t="n">
        <v>70.2</v>
      </c>
      <c r="F45" s="10" t="n">
        <v>46326</v>
      </c>
      <c r="G45" s="8" t="n">
        <v>5012410009</v>
      </c>
      <c r="H45" s="8" t="inlineStr">
        <is>
          <t>26-mp-724</t>
        </is>
      </c>
      <c r="I45" s="4" t="n"/>
      <c r="J45" s="4" t="n"/>
    </row>
    <row r="46">
      <c r="A46" s="5" t="inlineStr">
        <is>
          <t>NICOTINAMIDA NAD</t>
        </is>
      </c>
      <c r="B46" s="7" t="inlineStr">
        <is>
          <t>Aminoácido</t>
        </is>
      </c>
      <c r="C46" s="5" t="inlineStr">
        <is>
          <t>TCA</t>
        </is>
      </c>
      <c r="D46" s="8" t="inlineStr">
        <is>
          <t>kg</t>
        </is>
      </c>
      <c r="E46" s="9" t="n">
        <v>8</v>
      </c>
      <c r="F46" s="10" t="n">
        <v>46081</v>
      </c>
      <c r="G46" s="8" t="n">
        <v>241020</v>
      </c>
      <c r="H46" s="8" t="n"/>
      <c r="I46" s="4" t="n"/>
      <c r="J46" s="4" t="n"/>
    </row>
    <row r="47">
      <c r="A47" s="5" t="inlineStr">
        <is>
          <t>NICOTINAMIDA NAD</t>
        </is>
      </c>
      <c r="B47" s="7" t="inlineStr">
        <is>
          <t>Aminoácido</t>
        </is>
      </c>
      <c r="C47" s="5" t="inlineStr">
        <is>
          <t>TCA</t>
        </is>
      </c>
      <c r="D47" s="8" t="inlineStr">
        <is>
          <t>kg</t>
        </is>
      </c>
      <c r="E47" s="9" t="n">
        <v>25</v>
      </c>
      <c r="F47" s="10" t="n">
        <v>46463</v>
      </c>
      <c r="G47" s="8" t="n">
        <v>20250328</v>
      </c>
      <c r="H47" s="8" t="n"/>
      <c r="I47" s="4" t="n"/>
      <c r="J47" s="4" t="n"/>
    </row>
    <row r="48">
      <c r="A48" s="5" t="inlineStr">
        <is>
          <t>PROLINA</t>
        </is>
      </c>
      <c r="B48" s="7" t="inlineStr">
        <is>
          <t>Aminoácido</t>
        </is>
      </c>
      <c r="C48" s="5" t="inlineStr">
        <is>
          <t>DVA</t>
        </is>
      </c>
      <c r="D48" s="8" t="inlineStr">
        <is>
          <t>kg</t>
        </is>
      </c>
      <c r="E48" s="9" t="n">
        <v>321.27</v>
      </c>
      <c r="F48" s="10" t="n">
        <v>46338</v>
      </c>
      <c r="G48" s="8" t="n">
        <v>1052411007</v>
      </c>
      <c r="H48" s="8" t="inlineStr">
        <is>
          <t>26-mp-818</t>
        </is>
      </c>
      <c r="I48" s="4" t="n"/>
      <c r="J48" s="4" t="n"/>
    </row>
    <row r="49">
      <c r="A49" s="5" t="inlineStr">
        <is>
          <t>SERINA</t>
        </is>
      </c>
      <c r="B49" s="7" t="inlineStr">
        <is>
          <t>Aminoácido</t>
        </is>
      </c>
      <c r="C49" s="5" t="inlineStr">
        <is>
          <t>DVA</t>
        </is>
      </c>
      <c r="D49" s="8" t="inlineStr">
        <is>
          <t>kg</t>
        </is>
      </c>
      <c r="E49" s="9">
        <f>150+22.3</f>
        <v/>
      </c>
      <c r="F49" s="10" t="n">
        <v>46358</v>
      </c>
      <c r="G49" s="8" t="n">
        <v>12924112001</v>
      </c>
      <c r="H49" s="8" t="inlineStr">
        <is>
          <t>26-mp-619,813.727</t>
        </is>
      </c>
      <c r="I49" s="4" t="n"/>
      <c r="J49" s="4" t="n"/>
    </row>
    <row r="50">
      <c r="A50" s="5" t="inlineStr">
        <is>
          <t>TAURINA</t>
        </is>
      </c>
      <c r="B50" s="7" t="inlineStr">
        <is>
          <t>Aminoácido</t>
        </is>
      </c>
      <c r="C50" s="5" t="inlineStr">
        <is>
          <t>TCA</t>
        </is>
      </c>
      <c r="D50" s="8" t="inlineStr">
        <is>
          <t>kg</t>
        </is>
      </c>
      <c r="E50" s="9" t="n">
        <v>53</v>
      </c>
      <c r="F50" s="10" t="n">
        <v>46295</v>
      </c>
      <c r="G50" s="8" t="inlineStr">
        <is>
          <t>XP24094216</t>
        </is>
      </c>
      <c r="H50" s="8" t="n"/>
      <c r="I50" s="4" t="n"/>
      <c r="J50" s="4" t="n"/>
    </row>
    <row r="51">
      <c r="A51" s="5" t="inlineStr">
        <is>
          <t>TIROSINA</t>
        </is>
      </c>
      <c r="B51" s="7" t="inlineStr">
        <is>
          <t>Aminoácido</t>
        </is>
      </c>
      <c r="C51" s="5" t="inlineStr">
        <is>
          <t>TCA</t>
        </is>
      </c>
      <c r="D51" s="8" t="inlineStr">
        <is>
          <t>kg</t>
        </is>
      </c>
      <c r="E51" s="9" t="n">
        <v>25</v>
      </c>
      <c r="F51" s="10" t="n">
        <v>46326</v>
      </c>
      <c r="G51" s="8" t="inlineStr">
        <is>
          <t>KC251222</t>
        </is>
      </c>
      <c r="H51" s="21" t="inlineStr">
        <is>
          <t>26-MP-866</t>
        </is>
      </c>
      <c r="I51" s="4" t="inlineStr">
        <is>
          <t>13.65 MAS</t>
        </is>
      </c>
      <c r="J51" s="4" t="n"/>
    </row>
    <row r="52">
      <c r="A52" s="5" t="inlineStr">
        <is>
          <t>TREONINA</t>
        </is>
      </c>
      <c r="B52" s="7" t="inlineStr">
        <is>
          <t>Aminoácido</t>
        </is>
      </c>
      <c r="C52" s="5" t="inlineStr">
        <is>
          <t>DVA</t>
        </is>
      </c>
      <c r="D52" s="8" t="inlineStr">
        <is>
          <t>kg</t>
        </is>
      </c>
      <c r="E52" s="9" t="n">
        <v>150</v>
      </c>
      <c r="F52" s="10" t="n">
        <v>47324</v>
      </c>
      <c r="G52" s="8" t="inlineStr">
        <is>
          <t>KC260311</t>
        </is>
      </c>
      <c r="H52" s="21" t="inlineStr">
        <is>
          <t>26-MP-867</t>
        </is>
      </c>
      <c r="I52" s="4" t="n"/>
      <c r="J52" s="4" t="n"/>
    </row>
    <row r="53">
      <c r="A53" s="5" t="inlineStr">
        <is>
          <t>VALINA</t>
        </is>
      </c>
      <c r="B53" s="7" t="inlineStr">
        <is>
          <t>Aminoácido</t>
        </is>
      </c>
      <c r="C53" s="5" t="inlineStr">
        <is>
          <t>DVA</t>
        </is>
      </c>
      <c r="D53" s="8" t="inlineStr">
        <is>
          <t>kg</t>
        </is>
      </c>
      <c r="E53" s="9" t="n">
        <v>100</v>
      </c>
      <c r="F53" s="10" t="n">
        <v>46805</v>
      </c>
      <c r="G53" s="8" t="inlineStr">
        <is>
          <t>KC260223</t>
        </is>
      </c>
      <c r="H53" s="8" t="inlineStr">
        <is>
          <t>26-MP-868</t>
        </is>
      </c>
      <c r="I53" s="4" t="n"/>
      <c r="J53" s="4" t="n"/>
    </row>
    <row r="54">
      <c r="A54" s="5" t="inlineStr">
        <is>
          <t>VALINA</t>
        </is>
      </c>
      <c r="B54" s="7" t="inlineStr">
        <is>
          <t>Aminoácido</t>
        </is>
      </c>
      <c r="C54" s="5" t="inlineStr">
        <is>
          <t>DVA</t>
        </is>
      </c>
      <c r="D54" s="8" t="inlineStr">
        <is>
          <t>kg</t>
        </is>
      </c>
      <c r="E54" s="9" t="n">
        <v>150</v>
      </c>
      <c r="F54" s="10" t="n">
        <v>46694</v>
      </c>
      <c r="G54" s="8" t="inlineStr">
        <is>
          <t>KC251104</t>
        </is>
      </c>
      <c r="H54" s="8" t="inlineStr">
        <is>
          <t>26-MP-898</t>
        </is>
      </c>
      <c r="I54" s="4" t="n"/>
      <c r="J54" s="4" t="n"/>
    </row>
    <row r="55">
      <c r="A55" s="7" t="inlineStr">
        <is>
          <t>ALMIDON DE MAIZ</t>
        </is>
      </c>
      <c r="B55" s="7" t="inlineStr">
        <is>
          <t>Carbohidrato</t>
        </is>
      </c>
      <c r="C55" s="7" t="inlineStr">
        <is>
          <t>INGREDION</t>
        </is>
      </c>
      <c r="D55" s="7" t="inlineStr">
        <is>
          <t>kg</t>
        </is>
      </c>
      <c r="E55" s="9" t="n">
        <v>57</v>
      </c>
      <c r="F55" s="11" t="n">
        <v>47247</v>
      </c>
      <c r="G55" s="7" t="inlineStr">
        <is>
          <t>2JE018</t>
        </is>
      </c>
      <c r="H55" s="7" t="inlineStr">
        <is>
          <t>26-mp-744</t>
        </is>
      </c>
      <c r="I55" s="4" t="n"/>
      <c r="J55" s="4" t="n"/>
    </row>
    <row r="56">
      <c r="A56" s="5" t="inlineStr">
        <is>
          <t>CAFÉ EN POLVO</t>
        </is>
      </c>
      <c r="B56" s="7" t="inlineStr">
        <is>
          <t>Carbohidrato</t>
        </is>
      </c>
      <c r="C56" s="5" t="inlineStr">
        <is>
          <t>CAFIBER</t>
        </is>
      </c>
      <c r="D56" s="8" t="inlineStr">
        <is>
          <t>kg</t>
        </is>
      </c>
      <c r="E56" s="9" t="n">
        <v>550</v>
      </c>
      <c r="F56" s="10" t="n">
        <v>46419</v>
      </c>
      <c r="G56" s="8" t="inlineStr">
        <is>
          <t>RPT03E120</t>
        </is>
      </c>
      <c r="H56" s="9" t="inlineStr">
        <is>
          <t>MP-26-729</t>
        </is>
      </c>
      <c r="I56" s="4" t="n"/>
      <c r="J56" s="4" t="n"/>
    </row>
    <row r="57">
      <c r="A57" s="5" t="inlineStr">
        <is>
          <t>GOMA GARROFIN</t>
        </is>
      </c>
      <c r="B57" s="7" t="inlineStr">
        <is>
          <t>Carbohidrato</t>
        </is>
      </c>
      <c r="C57" s="5" t="inlineStr">
        <is>
          <t>LUCERO JULIAN</t>
        </is>
      </c>
      <c r="D57" s="8" t="inlineStr">
        <is>
          <t>kg</t>
        </is>
      </c>
      <c r="E57" s="9" t="n">
        <v>24</v>
      </c>
      <c r="F57" s="10" t="n">
        <v>47026</v>
      </c>
      <c r="G57" s="8" t="inlineStr">
        <is>
          <t>23C1210</t>
        </is>
      </c>
      <c r="H57" s="8" t="n"/>
      <c r="I57" s="4" t="n"/>
      <c r="J57" s="4" t="n"/>
    </row>
    <row r="58">
      <c r="A58" s="5" t="inlineStr">
        <is>
          <t>GOMA XANTHANA</t>
        </is>
      </c>
      <c r="B58" s="7" t="inlineStr">
        <is>
          <t>Carbohidrato</t>
        </is>
      </c>
      <c r="C58" s="5" t="inlineStr">
        <is>
          <t>ANDRES</t>
        </is>
      </c>
      <c r="D58" s="8" t="inlineStr">
        <is>
          <t>kg</t>
        </is>
      </c>
      <c r="E58" s="9" t="n">
        <v>275</v>
      </c>
      <c r="F58" s="10" t="n">
        <v>46539</v>
      </c>
      <c r="G58" s="8" t="inlineStr">
        <is>
          <t>NA</t>
        </is>
      </c>
      <c r="H58" s="8" t="n"/>
      <c r="I58" s="4" t="n"/>
      <c r="J58" s="4" t="n"/>
    </row>
    <row r="59">
      <c r="A59" s="23" t="inlineStr">
        <is>
          <t>INULINA DE AGAVE</t>
        </is>
      </c>
      <c r="B59" s="7" t="inlineStr">
        <is>
          <t>Carbohidrato</t>
        </is>
      </c>
      <c r="C59" s="5" t="inlineStr">
        <is>
          <t>MYDI</t>
        </is>
      </c>
      <c r="D59" s="8" t="inlineStr">
        <is>
          <t>kg</t>
        </is>
      </c>
      <c r="E59" s="9" t="n">
        <v>331.2</v>
      </c>
      <c r="F59" s="10" t="n">
        <v>46811</v>
      </c>
      <c r="G59" s="8" t="inlineStr">
        <is>
          <t>CB037613</t>
        </is>
      </c>
      <c r="H59" s="8" t="n"/>
      <c r="I59" s="4" t="n"/>
      <c r="J59" s="4" t="n"/>
    </row>
    <row r="60">
      <c r="A60" s="5" t="inlineStr">
        <is>
          <t>LACTOSA</t>
        </is>
      </c>
      <c r="B60" s="7" t="inlineStr">
        <is>
          <t>Carbohidrato</t>
        </is>
      </c>
      <c r="C60" s="5" t="inlineStr">
        <is>
          <t>PROANKA</t>
        </is>
      </c>
      <c r="D60" s="8" t="inlineStr">
        <is>
          <t>kg</t>
        </is>
      </c>
      <c r="E60" s="9" t="n">
        <v>2990</v>
      </c>
      <c r="F60" s="10" t="n">
        <v>46032</v>
      </c>
      <c r="G60" s="8" t="n">
        <v>2574538</v>
      </c>
      <c r="H60" s="8" t="n"/>
      <c r="I60" s="4" t="n"/>
      <c r="J60" s="4" t="n"/>
    </row>
    <row r="61">
      <c r="A61" s="5" t="inlineStr">
        <is>
          <t xml:space="preserve">LACTOSA </t>
        </is>
      </c>
      <c r="B61" s="7" t="inlineStr">
        <is>
          <t>Carbohidrato</t>
        </is>
      </c>
      <c r="C61" s="5" t="inlineStr">
        <is>
          <t>PROANKA</t>
        </is>
      </c>
      <c r="D61" s="8" t="inlineStr">
        <is>
          <t>kg</t>
        </is>
      </c>
      <c r="E61" s="9" t="n">
        <v>7475</v>
      </c>
      <c r="F61" s="10" t="n">
        <v>46252</v>
      </c>
      <c r="G61" s="8" t="n">
        <v>255745</v>
      </c>
      <c r="H61" s="8" t="n"/>
      <c r="I61" s="4" t="inlineStr">
        <is>
          <t>1.290 TON DIFERENCIA EN ERP</t>
        </is>
      </c>
      <c r="J61" s="4" t="n"/>
    </row>
    <row r="62">
      <c r="A62" s="5" t="inlineStr">
        <is>
          <t>LECHE DESCREMADA</t>
        </is>
      </c>
      <c r="B62" s="7" t="inlineStr">
        <is>
          <t>Carbohidrato</t>
        </is>
      </c>
      <c r="C62" s="5" t="inlineStr">
        <is>
          <t>PROQUIMLECHE</t>
        </is>
      </c>
      <c r="D62" s="8" t="inlineStr">
        <is>
          <t>kg</t>
        </is>
      </c>
      <c r="E62" s="9" t="n">
        <v>273.9</v>
      </c>
      <c r="F62" s="10" t="n">
        <v>47209</v>
      </c>
      <c r="G62" s="12" t="inlineStr">
        <is>
          <t>J10326</t>
        </is>
      </c>
      <c r="H62" s="12" t="n"/>
      <c r="I62" s="4" t="n"/>
      <c r="J62" s="4" t="n"/>
    </row>
    <row r="63">
      <c r="A63" s="5" t="inlineStr">
        <is>
          <t>MALTODEXTRINA</t>
        </is>
      </c>
      <c r="B63" s="7" t="inlineStr">
        <is>
          <t>Carbohidrato</t>
        </is>
      </c>
      <c r="C63" s="5" t="inlineStr">
        <is>
          <t>MYDI</t>
        </is>
      </c>
      <c r="D63" s="8" t="inlineStr">
        <is>
          <t>kg</t>
        </is>
      </c>
      <c r="E63" s="9" t="n">
        <v>10000</v>
      </c>
      <c r="F63" s="10" t="n">
        <v>47362</v>
      </c>
      <c r="G63" s="12" t="inlineStr">
        <is>
          <t>2JG638</t>
        </is>
      </c>
      <c r="H63" s="12" t="n"/>
      <c r="I63" s="4" t="inlineStr">
        <is>
          <t>1000 del lote 610</t>
        </is>
      </c>
      <c r="J63" s="4" t="n"/>
    </row>
    <row r="64">
      <c r="A64" s="5" t="inlineStr">
        <is>
          <t>MALTODEXTRINA</t>
        </is>
      </c>
      <c r="B64" s="7" t="inlineStr">
        <is>
          <t>Carbohidrato</t>
        </is>
      </c>
      <c r="C64" s="5" t="inlineStr">
        <is>
          <t>MYDI</t>
        </is>
      </c>
      <c r="D64" s="8" t="inlineStr">
        <is>
          <t>kg</t>
        </is>
      </c>
      <c r="E64" s="9" t="n">
        <v>4000</v>
      </c>
      <c r="F64" s="10" t="n">
        <v>47331</v>
      </c>
      <c r="G64" s="12" t="inlineStr">
        <is>
          <t>2JH611</t>
        </is>
      </c>
      <c r="H64" s="12" t="n"/>
      <c r="I64" s="4" t="n"/>
      <c r="J64" s="4" t="n"/>
    </row>
    <row r="65">
      <c r="A65" s="5" t="inlineStr">
        <is>
          <t>MALTODEXTRINA</t>
        </is>
      </c>
      <c r="B65" s="7" t="inlineStr">
        <is>
          <t>Carbohidrato</t>
        </is>
      </c>
      <c r="C65" s="5" t="inlineStr">
        <is>
          <t>MYDI</t>
        </is>
      </c>
      <c r="D65" s="8" t="inlineStr">
        <is>
          <t>kg</t>
        </is>
      </c>
      <c r="E65" s="9" t="n">
        <v>8337</v>
      </c>
      <c r="F65" s="10" t="n">
        <v>47300</v>
      </c>
      <c r="G65" s="12" t="inlineStr">
        <is>
          <t>2JG644</t>
        </is>
      </c>
      <c r="H65" s="12" t="n"/>
      <c r="I65" s="4" t="n"/>
      <c r="J65" s="4" t="n"/>
    </row>
    <row r="66">
      <c r="A66" s="5" t="inlineStr">
        <is>
          <t>SUCRALOSA</t>
        </is>
      </c>
      <c r="B66" s="7" t="inlineStr">
        <is>
          <t>Carbohidrato</t>
        </is>
      </c>
      <c r="C66" s="5" t="inlineStr">
        <is>
          <t>TCA</t>
        </is>
      </c>
      <c r="D66" s="8" t="inlineStr">
        <is>
          <t>kg</t>
        </is>
      </c>
      <c r="E66" s="9" t="n">
        <v>60.13</v>
      </c>
      <c r="F66" s="10" t="n">
        <v>47260</v>
      </c>
      <c r="G66" s="8" t="inlineStr">
        <is>
          <t>U126052211</t>
        </is>
      </c>
      <c r="H66" s="22" t="inlineStr">
        <is>
          <t>26-MP-882</t>
        </is>
      </c>
      <c r="I66" s="4" t="n"/>
      <c r="J66" s="4" t="n"/>
    </row>
    <row r="67">
      <c r="A67" s="5" t="inlineStr">
        <is>
          <t>STEVIA</t>
        </is>
      </c>
      <c r="B67" s="7" t="inlineStr">
        <is>
          <t>Carbohidrato</t>
        </is>
      </c>
      <c r="C67" s="5" t="inlineStr">
        <is>
          <t>TCA</t>
        </is>
      </c>
      <c r="D67" s="8" t="inlineStr">
        <is>
          <t>kg</t>
        </is>
      </c>
      <c r="E67" s="9" t="n">
        <v>25</v>
      </c>
      <c r="F67" s="10" t="n">
        <v>46048</v>
      </c>
      <c r="G67" s="8" t="n">
        <v>20240101</v>
      </c>
      <c r="H67" s="8" t="n"/>
      <c r="I67" s="4" t="n"/>
      <c r="J67" s="4" t="n"/>
    </row>
    <row r="68">
      <c r="A68" s="5" t="inlineStr">
        <is>
          <t>BICARBONATO DE POTASIO</t>
        </is>
      </c>
      <c r="B68" s="7" t="inlineStr">
        <is>
          <t>Mineral</t>
        </is>
      </c>
      <c r="C68" s="5" t="inlineStr">
        <is>
          <t>LUCERO JULIAN</t>
        </is>
      </c>
      <c r="D68" s="8" t="inlineStr">
        <is>
          <t>kg</t>
        </is>
      </c>
      <c r="E68" s="9" t="n">
        <v>91</v>
      </c>
      <c r="F68" s="10" t="n">
        <v>46387</v>
      </c>
      <c r="G68" s="8" t="n">
        <v>25010101</v>
      </c>
      <c r="H68" s="8" t="n"/>
      <c r="I68" s="4" t="n"/>
      <c r="J68" s="4" t="n"/>
    </row>
    <row r="69">
      <c r="A69" s="5" t="inlineStr">
        <is>
          <t>BIOXIDO DE TITANIO</t>
        </is>
      </c>
      <c r="B69" s="7" t="inlineStr">
        <is>
          <t>Mineral</t>
        </is>
      </c>
      <c r="C69" s="5" t="inlineStr">
        <is>
          <t>TAE</t>
        </is>
      </c>
      <c r="D69" s="8" t="inlineStr">
        <is>
          <t>kg</t>
        </is>
      </c>
      <c r="E69" s="9" t="n">
        <v>371</v>
      </c>
      <c r="F69" s="10" t="n">
        <v>46905</v>
      </c>
      <c r="G69" s="8" t="n">
        <v>1590</v>
      </c>
      <c r="H69" s="8" t="n"/>
      <c r="I69" s="4" t="n"/>
      <c r="J69" s="4" t="n"/>
    </row>
    <row r="70">
      <c r="A70" s="5" t="inlineStr">
        <is>
          <t>BISGLICINATO DE ZINC</t>
        </is>
      </c>
      <c r="B70" s="7" t="inlineStr">
        <is>
          <t>Mineral</t>
        </is>
      </c>
      <c r="C70" s="5" t="inlineStr">
        <is>
          <t>TCA</t>
        </is>
      </c>
      <c r="D70" s="8" t="inlineStr">
        <is>
          <t>kg</t>
        </is>
      </c>
      <c r="E70" s="9" t="n">
        <v>12</v>
      </c>
      <c r="F70" s="10" t="n">
        <v>46142</v>
      </c>
      <c r="G70" s="8" t="inlineStr">
        <is>
          <t>ZN170327</t>
        </is>
      </c>
      <c r="H70" s="8" t="n"/>
      <c r="I70" s="4" t="n"/>
      <c r="J70" s="4" t="n"/>
    </row>
    <row r="71">
      <c r="A71" s="5" t="inlineStr">
        <is>
          <t>BISGLICINATO DE ZINC</t>
        </is>
      </c>
      <c r="B71" s="7" t="inlineStr">
        <is>
          <t>Mineral</t>
        </is>
      </c>
      <c r="C71" s="5" t="inlineStr">
        <is>
          <t>TCA</t>
        </is>
      </c>
      <c r="D71" s="8" t="inlineStr">
        <is>
          <t>kg</t>
        </is>
      </c>
      <c r="E71" s="9" t="n">
        <v>25</v>
      </c>
      <c r="F71" s="10" t="n">
        <v>45658</v>
      </c>
      <c r="G71" s="8" t="n">
        <v>20230704</v>
      </c>
      <c r="H71" s="8" t="n"/>
      <c r="I71" s="4" t="n"/>
      <c r="J71" s="4" t="n"/>
    </row>
    <row r="72">
      <c r="A72" s="5" t="inlineStr">
        <is>
          <t>BISGLICINATO DE ZINC</t>
        </is>
      </c>
      <c r="B72" s="7" t="inlineStr">
        <is>
          <t>Mineral</t>
        </is>
      </c>
      <c r="C72" s="5" t="inlineStr">
        <is>
          <t>TCA</t>
        </is>
      </c>
      <c r="D72" s="8" t="inlineStr">
        <is>
          <t>kg</t>
        </is>
      </c>
      <c r="E72" s="9" t="n">
        <v>25</v>
      </c>
      <c r="F72" s="10" t="n">
        <v>46507</v>
      </c>
      <c r="G72" s="8" t="n">
        <v>202504010</v>
      </c>
      <c r="H72" s="8" t="n"/>
      <c r="I72" s="4" t="n"/>
      <c r="J72" s="4" t="n"/>
    </row>
    <row r="73">
      <c r="A73" s="5" t="inlineStr">
        <is>
          <t>CITRATO DE MAGNESIO</t>
        </is>
      </c>
      <c r="B73" s="7" t="inlineStr">
        <is>
          <t>Mineral</t>
        </is>
      </c>
      <c r="C73" s="5" t="inlineStr">
        <is>
          <t>TCA</t>
        </is>
      </c>
      <c r="D73" s="8" t="inlineStr">
        <is>
          <t>kg</t>
        </is>
      </c>
      <c r="E73" s="9" t="n">
        <v>57</v>
      </c>
      <c r="F73" s="10" t="n">
        <v>46490</v>
      </c>
      <c r="G73" s="8" t="n">
        <v>20250414</v>
      </c>
      <c r="H73" s="8" t="n"/>
      <c r="I73" s="4" t="n"/>
      <c r="J73" s="4" t="n"/>
    </row>
    <row r="74">
      <c r="A74" s="5" t="inlineStr">
        <is>
          <t>CITRATO TRIPOTASICO</t>
        </is>
      </c>
      <c r="B74" s="7" t="inlineStr">
        <is>
          <t>Mineral</t>
        </is>
      </c>
      <c r="C74" s="5" t="inlineStr">
        <is>
          <t>TCA</t>
        </is>
      </c>
      <c r="D74" s="8" t="inlineStr">
        <is>
          <t>kg</t>
        </is>
      </c>
      <c r="E74" s="9" t="n">
        <v>50</v>
      </c>
      <c r="F74" s="10" t="n">
        <v>47149</v>
      </c>
      <c r="G74" s="8" t="n">
        <v>601030068</v>
      </c>
      <c r="H74" s="8" t="n"/>
      <c r="I74" s="4" t="n"/>
      <c r="J74" s="4" t="n"/>
    </row>
    <row r="75">
      <c r="A75" s="5" t="inlineStr">
        <is>
          <t>CITRATO TRIPOTASICO</t>
        </is>
      </c>
      <c r="B75" s="7" t="inlineStr">
        <is>
          <t>Mineral</t>
        </is>
      </c>
      <c r="C75" s="5" t="inlineStr">
        <is>
          <t>TCA</t>
        </is>
      </c>
      <c r="D75" s="8" t="inlineStr">
        <is>
          <t>kg</t>
        </is>
      </c>
      <c r="E75" s="9" t="n">
        <v>25</v>
      </c>
      <c r="F75" s="10" t="n">
        <v>46507</v>
      </c>
      <c r="G75" s="8" t="n">
        <v>40430068</v>
      </c>
      <c r="H75" s="8" t="n"/>
      <c r="I75" s="4" t="n"/>
      <c r="J75" s="4" t="n"/>
    </row>
    <row r="76">
      <c r="A76" s="5" t="inlineStr">
        <is>
          <t>ISOLEUCINA</t>
        </is>
      </c>
      <c r="B76" s="7" t="inlineStr">
        <is>
          <t>Aminoácido</t>
        </is>
      </c>
      <c r="C76" s="5" t="inlineStr">
        <is>
          <t>TCA</t>
        </is>
      </c>
      <c r="D76" s="8" t="inlineStr">
        <is>
          <t>kg</t>
        </is>
      </c>
      <c r="E76" s="9" t="n">
        <v>218.15</v>
      </c>
      <c r="F76" s="10" t="n">
        <v>46351</v>
      </c>
      <c r="G76" s="13" t="n">
        <v>2142411004</v>
      </c>
      <c r="H76" s="8" t="inlineStr">
        <is>
          <t>26-mp-733</t>
        </is>
      </c>
      <c r="I76" s="4" t="n"/>
      <c r="J76" s="4" t="n"/>
    </row>
    <row r="77">
      <c r="A77" s="5" t="inlineStr">
        <is>
          <t>CITRATO TRISODICO</t>
        </is>
      </c>
      <c r="B77" s="7" t="inlineStr">
        <is>
          <t>Mineral</t>
        </is>
      </c>
      <c r="C77" s="5" t="inlineStr">
        <is>
          <t>TCA</t>
        </is>
      </c>
      <c r="D77" s="8" t="inlineStr">
        <is>
          <t>kg</t>
        </is>
      </c>
      <c r="E77" s="9" t="n">
        <v>24</v>
      </c>
      <c r="F77" s="10" t="n">
        <v>46808</v>
      </c>
      <c r="G77" s="8" t="n">
        <v>502020142</v>
      </c>
      <c r="H77" s="8" t="n"/>
      <c r="I77" s="4" t="n"/>
      <c r="J77" s="4" t="n"/>
    </row>
    <row r="78">
      <c r="A78" s="23" t="inlineStr">
        <is>
          <t>FOSFATO DICALCICO</t>
        </is>
      </c>
      <c r="B78" s="7" t="inlineStr">
        <is>
          <t>Mineral</t>
        </is>
      </c>
      <c r="C78" s="5" t="inlineStr">
        <is>
          <t>TCA</t>
        </is>
      </c>
      <c r="D78" s="8" t="inlineStr">
        <is>
          <t>kg</t>
        </is>
      </c>
      <c r="E78" s="9" t="n">
        <v>65.28</v>
      </c>
      <c r="F78" s="10" t="n">
        <v>46614</v>
      </c>
      <c r="G78" s="8" t="n">
        <v>425081612</v>
      </c>
      <c r="H78" s="8" t="n"/>
      <c r="I78" s="4" t="n"/>
      <c r="J78" s="4" t="n"/>
    </row>
    <row r="79">
      <c r="A79" s="23" t="inlineStr">
        <is>
          <t>FOSFATO DIPOTASICO</t>
        </is>
      </c>
      <c r="B79" s="7" t="inlineStr">
        <is>
          <t>Mineral</t>
        </is>
      </c>
      <c r="C79" s="5" t="inlineStr">
        <is>
          <t>TCA</t>
        </is>
      </c>
      <c r="D79" s="8" t="inlineStr">
        <is>
          <t>kg</t>
        </is>
      </c>
      <c r="E79" s="9" t="n">
        <v>75.55</v>
      </c>
      <c r="F79" s="10" t="n">
        <v>46630</v>
      </c>
      <c r="G79" s="8" t="n">
        <v>2425080613</v>
      </c>
      <c r="H79" s="8" t="n"/>
      <c r="I79" s="4" t="n"/>
      <c r="J79" s="4" t="n"/>
    </row>
    <row r="80">
      <c r="A80" s="7" t="inlineStr">
        <is>
          <t>FOSFATO TRICALCICO</t>
        </is>
      </c>
      <c r="B80" s="7" t="inlineStr">
        <is>
          <t>Mineral</t>
        </is>
      </c>
      <c r="C80" s="5" t="inlineStr">
        <is>
          <t>TCA</t>
        </is>
      </c>
      <c r="D80" s="8" t="inlineStr">
        <is>
          <t>kg</t>
        </is>
      </c>
      <c r="E80" s="9" t="n">
        <v>50</v>
      </c>
      <c r="F80" s="10" t="n">
        <v>46763</v>
      </c>
      <c r="G80" s="8" t="n">
        <v>26011201</v>
      </c>
      <c r="H80" s="21" t="inlineStr">
        <is>
          <t>26-MP-845</t>
        </is>
      </c>
      <c r="I80" s="4" t="n"/>
      <c r="J80" s="4" t="n"/>
    </row>
    <row r="81">
      <c r="A81" s="23" t="inlineStr">
        <is>
          <t>FOSFATO TRICALCICO</t>
        </is>
      </c>
      <c r="B81" s="7" t="inlineStr">
        <is>
          <t>Mineral</t>
        </is>
      </c>
      <c r="C81" s="5" t="inlineStr">
        <is>
          <t>TCA</t>
        </is>
      </c>
      <c r="D81" s="8" t="inlineStr">
        <is>
          <t>kg</t>
        </is>
      </c>
      <c r="E81" s="9" t="n">
        <v>20</v>
      </c>
      <c r="F81" s="10" t="n">
        <v>46538</v>
      </c>
      <c r="G81" s="14" t="inlineStr">
        <is>
          <t>0525052613</t>
        </is>
      </c>
      <c r="H81" s="14" t="n"/>
      <c r="I81" s="4" t="n"/>
      <c r="J81" s="4" t="n"/>
    </row>
    <row r="82">
      <c r="A82" s="5" t="inlineStr">
        <is>
          <t>GLUCONATO DE HIERRO</t>
        </is>
      </c>
      <c r="B82" s="7" t="inlineStr">
        <is>
          <t>Mineral</t>
        </is>
      </c>
      <c r="C82" s="5" t="inlineStr">
        <is>
          <t>TCA</t>
        </is>
      </c>
      <c r="D82" s="8" t="inlineStr">
        <is>
          <t>kg</t>
        </is>
      </c>
      <c r="E82" s="9" t="n">
        <v>15</v>
      </c>
      <c r="F82" s="10" t="n">
        <v>45808</v>
      </c>
      <c r="G82" s="14" t="inlineStr">
        <is>
          <t>06224707</t>
        </is>
      </c>
      <c r="H82" s="14" t="n"/>
      <c r="I82" s="4" t="n"/>
      <c r="J82" s="4" t="n"/>
    </row>
    <row r="83">
      <c r="A83" s="5" t="inlineStr">
        <is>
          <t>CAFEINA ANHIDRA</t>
        </is>
      </c>
      <c r="B83" s="7" t="inlineStr">
        <is>
          <t>Otro</t>
        </is>
      </c>
      <c r="C83" s="5" t="inlineStr">
        <is>
          <t>TCA</t>
        </is>
      </c>
      <c r="D83" s="8" t="inlineStr">
        <is>
          <t>kg</t>
        </is>
      </c>
      <c r="E83" s="9" t="n">
        <v>65</v>
      </c>
      <c r="F83" s="10" t="n">
        <v>47756</v>
      </c>
      <c r="G83" s="8" t="n">
        <v>1032509420</v>
      </c>
      <c r="H83" s="8" t="n"/>
      <c r="I83" s="4" t="n"/>
      <c r="J83" s="4" t="n"/>
    </row>
    <row r="84">
      <c r="A84" s="5" t="inlineStr">
        <is>
          <t>CREATINA MONOHIDRATADA</t>
        </is>
      </c>
      <c r="B84" s="7" t="inlineStr">
        <is>
          <t>Otro</t>
        </is>
      </c>
      <c r="C84" s="5" t="inlineStr">
        <is>
          <t>PKR</t>
        </is>
      </c>
      <c r="D84" s="8" t="inlineStr">
        <is>
          <t>kg</t>
        </is>
      </c>
      <c r="E84" s="9" t="n">
        <v>3775</v>
      </c>
      <c r="F84" s="10" t="n">
        <v>46607</v>
      </c>
      <c r="G84" s="8" t="n">
        <v>20250809</v>
      </c>
      <c r="H84" s="8" t="inlineStr">
        <is>
          <t>MP-26-880</t>
        </is>
      </c>
      <c r="I84" s="4" t="n"/>
      <c r="J84" s="4" t="n"/>
    </row>
    <row r="85">
      <c r="A85" s="5" t="inlineStr">
        <is>
          <t>CREATINA MONOHIDRATADA</t>
        </is>
      </c>
      <c r="B85" s="7" t="inlineStr">
        <is>
          <t>Otro</t>
        </is>
      </c>
      <c r="C85" s="5" t="inlineStr">
        <is>
          <t>DVA</t>
        </is>
      </c>
      <c r="D85" s="8" t="inlineStr">
        <is>
          <t>kg</t>
        </is>
      </c>
      <c r="E85" s="9" t="n">
        <v>2375</v>
      </c>
      <c r="F85" s="10" t="n">
        <v>46607</v>
      </c>
      <c r="G85" s="8" t="n">
        <v>20250809</v>
      </c>
      <c r="H85" s="8" t="inlineStr">
        <is>
          <t>MP-26-899 Y MP-26-878</t>
        </is>
      </c>
      <c r="I85" s="4" t="n"/>
      <c r="J85" s="4" t="n"/>
    </row>
    <row r="86">
      <c r="A86" s="5" t="inlineStr">
        <is>
          <t>FIBRA DE TRIGO</t>
        </is>
      </c>
      <c r="B86" s="7" t="inlineStr">
        <is>
          <t>Otro</t>
        </is>
      </c>
      <c r="C86" s="5" t="inlineStr">
        <is>
          <t>LUCERO JULIAN</t>
        </is>
      </c>
      <c r="D86" s="8" t="inlineStr">
        <is>
          <t>kg</t>
        </is>
      </c>
      <c r="E86" s="9" t="n">
        <v>30</v>
      </c>
      <c r="F86" s="10" t="n">
        <v>47270</v>
      </c>
      <c r="G86" s="8" t="inlineStr">
        <is>
          <t>FT040625</t>
        </is>
      </c>
      <c r="H86" s="8" t="n"/>
      <c r="I86" s="4" t="n"/>
      <c r="J86" s="4" t="n"/>
    </row>
    <row r="87">
      <c r="A87" s="5" t="inlineStr">
        <is>
          <t>INOSITOL EN POLVO</t>
        </is>
      </c>
      <c r="B87" s="7" t="inlineStr">
        <is>
          <t>Otro</t>
        </is>
      </c>
      <c r="C87" s="5" t="inlineStr">
        <is>
          <t>TCA</t>
        </is>
      </c>
      <c r="D87" s="8" t="inlineStr">
        <is>
          <t>kg</t>
        </is>
      </c>
      <c r="E87" s="9" t="n">
        <v>2</v>
      </c>
      <c r="F87" s="10" t="n">
        <v>46220</v>
      </c>
      <c r="G87" s="8" t="n">
        <v>1012205901</v>
      </c>
      <c r="H87" s="8" t="n"/>
      <c r="I87" s="4" t="n"/>
      <c r="J87" s="4" t="n"/>
    </row>
    <row r="88">
      <c r="A88" s="5" t="inlineStr">
        <is>
          <t>INOSITOL EN POLVO</t>
        </is>
      </c>
      <c r="B88" s="7" t="inlineStr">
        <is>
          <t>Otro</t>
        </is>
      </c>
      <c r="C88" s="5" t="inlineStr">
        <is>
          <t>TCA</t>
        </is>
      </c>
      <c r="D88" s="8" t="inlineStr">
        <is>
          <t>kg</t>
        </is>
      </c>
      <c r="E88" s="9" t="n">
        <v>24.9</v>
      </c>
      <c r="F88" s="10" t="n">
        <v>47208</v>
      </c>
      <c r="G88" s="8" t="inlineStr">
        <is>
          <t>KC250331</t>
        </is>
      </c>
      <c r="H88" s="10" t="inlineStr">
        <is>
          <t>26-MP-782</t>
        </is>
      </c>
      <c r="I88" s="4" t="n"/>
      <c r="J88" s="4" t="n"/>
    </row>
    <row r="89">
      <c r="A89" s="5" t="inlineStr">
        <is>
          <t>TONGKAT ALI</t>
        </is>
      </c>
      <c r="B89" s="7" t="inlineStr">
        <is>
          <t>Otro</t>
        </is>
      </c>
      <c r="C89" s="5" t="inlineStr">
        <is>
          <t>LUCERO JULIAN</t>
        </is>
      </c>
      <c r="D89" s="8" t="inlineStr">
        <is>
          <t>kg</t>
        </is>
      </c>
      <c r="E89" s="9" t="n">
        <v>138</v>
      </c>
      <c r="F89" s="10" t="n">
        <v>46438</v>
      </c>
      <c r="G89" s="8" t="inlineStr">
        <is>
          <t>TOA020623</t>
        </is>
      </c>
      <c r="H89" s="8" t="n"/>
      <c r="I89" s="4" t="n"/>
      <c r="J89" s="4" t="n"/>
    </row>
    <row r="90">
      <c r="A90" s="5" t="inlineStr">
        <is>
          <t>ZANAHORIA EN POLVO</t>
        </is>
      </c>
      <c r="B90" s="7" t="inlineStr">
        <is>
          <t>Otro</t>
        </is>
      </c>
      <c r="C90" s="5" t="inlineStr">
        <is>
          <t>LUCERO JULIAN</t>
        </is>
      </c>
      <c r="D90" s="8" t="inlineStr">
        <is>
          <t>kg</t>
        </is>
      </c>
      <c r="E90" s="9" t="n">
        <v>10</v>
      </c>
      <c r="F90" s="10" t="n">
        <v>46268</v>
      </c>
      <c r="G90" s="8" t="inlineStr">
        <is>
          <t>2H0325</t>
        </is>
      </c>
      <c r="H90" s="8" t="n"/>
      <c r="I90" s="4" t="n"/>
      <c r="J90" s="4" t="n"/>
    </row>
    <row r="91">
      <c r="A91" s="5" t="inlineStr">
        <is>
          <t>CASEINATO DE CALCIO</t>
        </is>
      </c>
      <c r="B91" s="7" t="inlineStr">
        <is>
          <t>Proteína</t>
        </is>
      </c>
      <c r="C91" s="5" t="inlineStr">
        <is>
          <t>TCA</t>
        </is>
      </c>
      <c r="D91" s="8" t="inlineStr">
        <is>
          <t>kg</t>
        </is>
      </c>
      <c r="E91" s="9" t="n">
        <v>20</v>
      </c>
      <c r="F91" s="10" t="n">
        <v>46488</v>
      </c>
      <c r="G91" s="8" t="inlineStr">
        <is>
          <t>FW202502937</t>
        </is>
      </c>
      <c r="H91" s="8" t="n"/>
      <c r="I91" s="4" t="n"/>
      <c r="J91" s="4" t="n"/>
    </row>
    <row r="92">
      <c r="A92" s="5" t="inlineStr">
        <is>
          <t>COLAGENO BOVINO</t>
        </is>
      </c>
      <c r="B92" s="7" t="inlineStr">
        <is>
          <t>Proteína</t>
        </is>
      </c>
      <c r="C92" s="5" t="inlineStr">
        <is>
          <t>NOVAORGANIC</t>
        </is>
      </c>
      <c r="D92" s="8" t="inlineStr">
        <is>
          <t>kg</t>
        </is>
      </c>
      <c r="E92" s="9" t="n">
        <v>483.58</v>
      </c>
      <c r="F92" s="10" t="n">
        <v>46711</v>
      </c>
      <c r="G92" s="8" t="n">
        <v>26026882</v>
      </c>
      <c r="H92" s="8" t="n"/>
      <c r="I92" s="4" t="n"/>
      <c r="J92" s="4" t="n"/>
    </row>
    <row r="93">
      <c r="A93" s="5" t="inlineStr">
        <is>
          <t xml:space="preserve">colageno de pescado </t>
        </is>
      </c>
      <c r="B93" s="7" t="inlineStr">
        <is>
          <t>proteina</t>
        </is>
      </c>
      <c r="C93" s="5" t="inlineStr">
        <is>
          <t xml:space="preserve">tca </t>
        </is>
      </c>
      <c r="D93" s="8" t="inlineStr">
        <is>
          <t>kg</t>
        </is>
      </c>
      <c r="E93" s="9" t="n">
        <v>11.975</v>
      </c>
      <c r="F93" s="10" t="n">
        <v>46542</v>
      </c>
      <c r="G93" s="8" t="inlineStr">
        <is>
          <t>B24060053</t>
        </is>
      </c>
      <c r="H93" s="8" t="n"/>
      <c r="I93" s="4" t="n"/>
      <c r="J93" s="4" t="n"/>
    </row>
    <row r="94">
      <c r="A94" s="5" t="inlineStr">
        <is>
          <t>MPI 85%</t>
        </is>
      </c>
      <c r="B94" s="7" t="inlineStr">
        <is>
          <t>Proteína</t>
        </is>
      </c>
      <c r="C94" s="5" t="inlineStr">
        <is>
          <t>BEYOND NUTRITION</t>
        </is>
      </c>
      <c r="D94" s="8" t="inlineStr">
        <is>
          <t>kg</t>
        </is>
      </c>
      <c r="E94" s="9" t="n">
        <v>695</v>
      </c>
      <c r="F94" s="10" t="n">
        <v>45870</v>
      </c>
      <c r="G94" s="8" t="n">
        <v>23236</v>
      </c>
      <c r="H94" s="8" t="n"/>
      <c r="I94" s="4" t="n"/>
      <c r="J94" s="4" t="n"/>
    </row>
    <row r="95">
      <c r="A95" s="5" t="inlineStr">
        <is>
          <t>PROTEINA AISLADA DE SOYA</t>
        </is>
      </c>
      <c r="B95" s="7" t="inlineStr">
        <is>
          <t>Proteína</t>
        </is>
      </c>
      <c r="C95" s="5" t="inlineStr">
        <is>
          <t>Beyond Nutrition</t>
        </is>
      </c>
      <c r="D95" s="8" t="inlineStr">
        <is>
          <t>kg</t>
        </is>
      </c>
      <c r="E95" s="9" t="n">
        <v>500</v>
      </c>
      <c r="F95" s="10" t="n">
        <v>46686</v>
      </c>
      <c r="G95" s="8" t="inlineStr">
        <is>
          <t>D1114</t>
        </is>
      </c>
      <c r="H95" s="8" t="n"/>
      <c r="I95" s="4" t="n"/>
      <c r="J95" s="4" t="n"/>
    </row>
    <row r="96">
      <c r="A96" s="5" t="inlineStr">
        <is>
          <t>PROTEINA DE ARROZ PARCIALMENTE HIDROLIZADA AL 80%</t>
        </is>
      </c>
      <c r="B96" s="7" t="inlineStr">
        <is>
          <t>Proteína</t>
        </is>
      </c>
      <c r="C96" s="5" t="inlineStr">
        <is>
          <t>Suafarma</t>
        </is>
      </c>
      <c r="D96" s="8" t="inlineStr">
        <is>
          <t>kg</t>
        </is>
      </c>
      <c r="E96" s="9" t="n">
        <v>1781.2</v>
      </c>
      <c r="F96" s="10" t="n">
        <v>46494</v>
      </c>
      <c r="G96" s="8" t="inlineStr">
        <is>
          <t>20251218Q580</t>
        </is>
      </c>
      <c r="H96" s="8" t="inlineStr">
        <is>
          <t>26-MP-738</t>
        </is>
      </c>
      <c r="I96" s="4" t="inlineStr">
        <is>
          <t xml:space="preserve">94.5 EN JAULA 2 CUARENTENA </t>
        </is>
      </c>
      <c r="J96" s="4" t="n"/>
    </row>
    <row r="97">
      <c r="A97" s="5" t="inlineStr">
        <is>
          <t>SUERO DESMINERALIZADO AL 90%</t>
        </is>
      </c>
      <c r="B97" s="7" t="inlineStr">
        <is>
          <t>Proteína</t>
        </is>
      </c>
      <c r="C97" s="5" t="inlineStr">
        <is>
          <t>ILAS</t>
        </is>
      </c>
      <c r="D97" s="8" t="inlineStr">
        <is>
          <t>kg</t>
        </is>
      </c>
      <c r="E97" s="9" t="n">
        <v>259.995</v>
      </c>
      <c r="F97" s="10" t="n">
        <v>46650</v>
      </c>
      <c r="G97" s="8" t="inlineStr">
        <is>
          <t>C620B</t>
        </is>
      </c>
      <c r="H97" s="8" t="n"/>
      <c r="I97" s="4" t="n"/>
      <c r="J97" s="4" t="n"/>
    </row>
    <row r="98">
      <c r="A98" s="5" t="inlineStr">
        <is>
          <t>SUERO DULCE DE LECHE</t>
        </is>
      </c>
      <c r="B98" s="7" t="inlineStr">
        <is>
          <t>Proteína</t>
        </is>
      </c>
      <c r="C98" s="5" t="inlineStr">
        <is>
          <t>TAE</t>
        </is>
      </c>
      <c r="D98" s="8" t="inlineStr">
        <is>
          <t>kg</t>
        </is>
      </c>
      <c r="E98" s="9" t="n">
        <v>850</v>
      </c>
      <c r="F98" s="10" t="n">
        <v>46444</v>
      </c>
      <c r="G98" s="14" t="inlineStr">
        <is>
          <t>0321</t>
        </is>
      </c>
      <c r="H98" s="14" t="n"/>
      <c r="I98" s="4" t="n"/>
      <c r="J98" s="4" t="n"/>
    </row>
    <row r="99">
      <c r="A99" s="5" t="inlineStr">
        <is>
          <t>WPC 80%</t>
        </is>
      </c>
      <c r="B99" s="7" t="inlineStr">
        <is>
          <t>Proteína</t>
        </is>
      </c>
      <c r="C99" s="5" t="inlineStr">
        <is>
          <t>Marquez Brothers</t>
        </is>
      </c>
      <c r="D99" s="8" t="inlineStr">
        <is>
          <t>kg</t>
        </is>
      </c>
      <c r="E99" s="9" t="n">
        <v>1458</v>
      </c>
      <c r="F99" s="10" t="n">
        <v>46866</v>
      </c>
      <c r="G99" s="8" t="n">
        <v>22260425002</v>
      </c>
      <c r="H99" s="8" t="inlineStr">
        <is>
          <t>26-MP-710</t>
        </is>
      </c>
      <c r="I99" s="4" t="inlineStr">
        <is>
          <t>458 LOTE AAD26097S Y 1 TON 22260425002</t>
        </is>
      </c>
      <c r="J99" s="4" t="n"/>
    </row>
    <row r="100">
      <c r="A100" s="5" t="inlineStr">
        <is>
          <t>WPC 8500</t>
        </is>
      </c>
      <c r="B100" s="7" t="inlineStr">
        <is>
          <t>Proteína</t>
        </is>
      </c>
      <c r="C100" s="5" t="inlineStr">
        <is>
          <t>Vhiler</t>
        </is>
      </c>
      <c r="D100" s="8" t="inlineStr">
        <is>
          <t>kg</t>
        </is>
      </c>
      <c r="E100" s="9" t="n">
        <v>440</v>
      </c>
      <c r="F100" s="10" t="n">
        <v>45689</v>
      </c>
      <c r="G100" s="8" t="n">
        <v>1492812</v>
      </c>
      <c r="H100" s="8" t="n"/>
      <c r="I100" s="4" t="n"/>
      <c r="J100" s="4" t="n"/>
    </row>
    <row r="101">
      <c r="A101" s="23" t="inlineStr">
        <is>
          <t>WPH 8360</t>
        </is>
      </c>
      <c r="B101" s="7" t="inlineStr">
        <is>
          <t>Proteína</t>
        </is>
      </c>
      <c r="C101" s="5" t="inlineStr">
        <is>
          <t>Vhiler</t>
        </is>
      </c>
      <c r="D101" s="8" t="inlineStr">
        <is>
          <t>kg</t>
        </is>
      </c>
      <c r="E101" s="9" t="n">
        <v>920</v>
      </c>
      <c r="F101" s="10" t="n">
        <v>46196</v>
      </c>
      <c r="G101" s="8" t="n">
        <v>1515435</v>
      </c>
      <c r="H101" s="8" t="n"/>
      <c r="I101" s="4" t="n"/>
      <c r="J101" s="4" t="n"/>
    </row>
    <row r="102">
      <c r="A102" s="5" t="inlineStr">
        <is>
          <t>ACIDO CITRICO</t>
        </is>
      </c>
      <c r="B102" s="7" t="inlineStr">
        <is>
          <t>Vitamina</t>
        </is>
      </c>
      <c r="C102" s="5" t="inlineStr">
        <is>
          <t>TAE</t>
        </is>
      </c>
      <c r="D102" s="8" t="inlineStr">
        <is>
          <t>kg</t>
        </is>
      </c>
      <c r="E102" s="9" t="n">
        <v>195.22</v>
      </c>
      <c r="F102" s="10" t="n">
        <v>46783</v>
      </c>
      <c r="G102" s="8" t="inlineStr">
        <is>
          <t>2AX2502016</t>
        </is>
      </c>
      <c r="H102" s="8" t="n"/>
      <c r="I102" s="4" t="n"/>
      <c r="J102" s="4" t="n"/>
    </row>
    <row r="103">
      <c r="A103" s="5" t="inlineStr">
        <is>
          <t>ACIDO CITRICO</t>
        </is>
      </c>
      <c r="B103" s="7" t="inlineStr">
        <is>
          <t>Vitamina</t>
        </is>
      </c>
      <c r="C103" s="5" t="inlineStr">
        <is>
          <t>TAE</t>
        </is>
      </c>
      <c r="D103" s="8" t="inlineStr">
        <is>
          <t>kg</t>
        </is>
      </c>
      <c r="E103" s="9" t="n">
        <v>500</v>
      </c>
      <c r="F103" s="10" t="n">
        <v>47206</v>
      </c>
      <c r="G103" s="8" t="inlineStr">
        <is>
          <t>6AX2603046</t>
        </is>
      </c>
      <c r="H103" s="8" t="n"/>
      <c r="I103" s="4" t="n"/>
      <c r="J103" s="4" t="n"/>
    </row>
    <row r="104">
      <c r="A104" s="5" t="inlineStr">
        <is>
          <t>PREMIX FORTIRAAM</t>
        </is>
      </c>
      <c r="B104" s="7" t="inlineStr">
        <is>
          <t>Vitamina</t>
        </is>
      </c>
      <c r="C104" s="5" t="inlineStr">
        <is>
          <t>STERLING</t>
        </is>
      </c>
      <c r="D104" s="8" t="inlineStr">
        <is>
          <t>kg</t>
        </is>
      </c>
      <c r="E104" s="9" t="n">
        <v>10</v>
      </c>
      <c r="F104" s="10" t="n">
        <v>46873</v>
      </c>
      <c r="G104" s="8" t="inlineStr">
        <is>
          <t>V10062026B</t>
        </is>
      </c>
      <c r="H104" s="8" t="n"/>
      <c r="I104" s="4" t="n"/>
      <c r="J104" s="4" t="n"/>
    </row>
    <row r="105">
      <c r="A105" s="5" t="inlineStr">
        <is>
          <t>PREMIX WINMIX</t>
        </is>
      </c>
      <c r="B105" s="7" t="inlineStr">
        <is>
          <t>Vitamina</t>
        </is>
      </c>
      <c r="C105" s="5" t="inlineStr">
        <is>
          <t>WIN</t>
        </is>
      </c>
      <c r="D105" s="8" t="inlineStr">
        <is>
          <t>kg</t>
        </is>
      </c>
      <c r="E105" s="9" t="n">
        <v>22</v>
      </c>
      <c r="F105" s="10" t="n">
        <v>46356</v>
      </c>
      <c r="G105" s="8" t="n">
        <v>2000608</v>
      </c>
      <c r="H105" s="8" t="n"/>
      <c r="I105" s="4" t="n"/>
      <c r="J105" s="4" t="n"/>
    </row>
    <row r="106">
      <c r="A106" s="5" t="inlineStr">
        <is>
          <t xml:space="preserve">SAL MOLIDA </t>
        </is>
      </c>
      <c r="B106" s="7" t="inlineStr">
        <is>
          <t>Mineral</t>
        </is>
      </c>
      <c r="C106" s="5" t="inlineStr">
        <is>
          <t>PROQUIMLECHE</t>
        </is>
      </c>
      <c r="D106" s="15" t="inlineStr">
        <is>
          <t xml:space="preserve">kg </t>
        </is>
      </c>
      <c r="E106" s="9" t="n">
        <v>17.3</v>
      </c>
      <c r="F106" s="5" t="inlineStr">
        <is>
          <t>N/A</t>
        </is>
      </c>
      <c r="G106" s="16" t="inlineStr">
        <is>
          <t>M3126</t>
        </is>
      </c>
      <c r="H106" s="16" t="n"/>
      <c r="I106" s="4" t="n"/>
      <c r="J106" s="4" t="n"/>
    </row>
    <row r="107">
      <c r="A107" s="5" t="inlineStr">
        <is>
          <t xml:space="preserve">SAL MOLIDA </t>
        </is>
      </c>
      <c r="B107" s="7" t="inlineStr">
        <is>
          <t>Mineral</t>
        </is>
      </c>
      <c r="C107" s="5" t="inlineStr">
        <is>
          <t>PROQUIMLECHE</t>
        </is>
      </c>
      <c r="D107" s="15" t="inlineStr">
        <is>
          <t xml:space="preserve">kg </t>
        </is>
      </c>
      <c r="E107" s="9" t="n">
        <v>100</v>
      </c>
      <c r="F107" s="5" t="inlineStr">
        <is>
          <t>n/a</t>
        </is>
      </c>
      <c r="G107" s="16" t="n"/>
      <c r="H107" s="16" t="n"/>
      <c r="I107" s="4" t="n"/>
      <c r="J107" s="4" t="n"/>
    </row>
    <row r="108">
      <c r="A108" s="4" t="inlineStr">
        <is>
          <t xml:space="preserve">FOS </t>
        </is>
      </c>
      <c r="B108" s="17" t="inlineStr">
        <is>
          <t>FIBRA</t>
        </is>
      </c>
      <c r="C108" s="5" t="inlineStr">
        <is>
          <t xml:space="preserve">AZELIS </t>
        </is>
      </c>
      <c r="D108" s="8" t="inlineStr">
        <is>
          <t>kg</t>
        </is>
      </c>
      <c r="E108" s="9" t="n">
        <v>464</v>
      </c>
      <c r="F108" s="18" t="n">
        <v>47328</v>
      </c>
      <c r="G108" s="19" t="inlineStr">
        <is>
          <t>C2063747</t>
        </is>
      </c>
      <c r="H108" s="19" t="n"/>
      <c r="I108" s="4" t="n"/>
      <c r="J108" s="4" t="n"/>
    </row>
    <row r="109">
      <c r="A109" s="4" t="inlineStr">
        <is>
          <t xml:space="preserve">fosfato de calcio </t>
        </is>
      </c>
      <c r="B109" s="17" t="inlineStr">
        <is>
          <t xml:space="preserve">mineral </t>
        </is>
      </c>
      <c r="C109" s="5" t="inlineStr">
        <is>
          <t>WIN</t>
        </is>
      </c>
      <c r="D109" s="8" t="inlineStr">
        <is>
          <t xml:space="preserve">kg </t>
        </is>
      </c>
      <c r="E109" s="9" t="n">
        <v>16</v>
      </c>
      <c r="F109" s="18" t="inlineStr">
        <is>
          <t>2027/agos/16</t>
        </is>
      </c>
      <c r="G109" s="19" t="n">
        <v>425081612</v>
      </c>
      <c r="H109" s="19" t="inlineStr">
        <is>
          <t>26-MP-841</t>
        </is>
      </c>
      <c r="I109" s="4" t="n"/>
      <c r="J109" s="4" t="n"/>
    </row>
    <row r="110">
      <c r="A110" s="4" t="inlineStr">
        <is>
          <t xml:space="preserve">dioxido de silicio </t>
        </is>
      </c>
      <c r="B110" s="17" t="inlineStr">
        <is>
          <t>Aditivo</t>
        </is>
      </c>
      <c r="C110" s="5" t="inlineStr">
        <is>
          <t>PROQUIMLECHE</t>
        </is>
      </c>
      <c r="D110" s="8" t="inlineStr">
        <is>
          <t xml:space="preserve">kg </t>
        </is>
      </c>
      <c r="E110" s="9" t="n"/>
      <c r="F110" s="18" t="n">
        <v>46987</v>
      </c>
      <c r="G110" s="19" t="n">
        <v>23236</v>
      </c>
      <c r="H110" s="19" t="n"/>
      <c r="I110" s="4" t="inlineStr">
        <is>
          <t>NO EXISTE</t>
        </is>
      </c>
      <c r="J110" s="4" t="n"/>
    </row>
    <row r="111">
      <c r="A111" s="4" t="inlineStr">
        <is>
          <t xml:space="preserve">dioxido de silicio </t>
        </is>
      </c>
      <c r="B111" s="17" t="inlineStr">
        <is>
          <t>Aditivo</t>
        </is>
      </c>
      <c r="C111" s="5" t="inlineStr">
        <is>
          <t>PROQUIMLECHE</t>
        </is>
      </c>
      <c r="D111" s="8" t="inlineStr">
        <is>
          <t>kg</t>
        </is>
      </c>
      <c r="E111" s="9" t="n">
        <v>23.48</v>
      </c>
      <c r="F111" s="18" t="n">
        <v>46783</v>
      </c>
      <c r="G111" s="19" t="inlineStr">
        <is>
          <t>202601090A</t>
        </is>
      </c>
      <c r="H111" s="19" t="n"/>
      <c r="I111" s="4" t="n"/>
      <c r="J111" s="4" t="n"/>
    </row>
    <row r="112">
      <c r="A112" s="4" t="n"/>
      <c r="B112" s="17" t="n"/>
      <c r="C112" s="5" t="n"/>
      <c r="D112" s="8" t="n"/>
      <c r="E112" s="9" t="n"/>
      <c r="F112" s="18" t="n"/>
      <c r="G112" s="19" t="n"/>
      <c r="H112" s="19" t="n"/>
      <c r="I112" s="4" t="n"/>
      <c r="J112" s="4" t="n"/>
    </row>
    <row r="113">
      <c r="A113" s="4" t="inlineStr">
        <is>
          <t xml:space="preserve">acido ascorbico </t>
        </is>
      </c>
      <c r="B113" s="17" t="inlineStr">
        <is>
          <t>Vitamina</t>
        </is>
      </c>
      <c r="C113" s="5" t="inlineStr">
        <is>
          <t>tca</t>
        </is>
      </c>
      <c r="D113" s="8" t="inlineStr">
        <is>
          <t>kg</t>
        </is>
      </c>
      <c r="E113" s="9" t="n">
        <v>13.48</v>
      </c>
      <c r="F113" s="18" t="n">
        <v>47087</v>
      </c>
      <c r="G113" s="19" t="n">
        <v>3230141081</v>
      </c>
      <c r="H113" s="19" t="n"/>
      <c r="I113" s="20" t="inlineStr">
        <is>
          <t>3230141081 LOTE</t>
        </is>
      </c>
      <c r="J113" s="20" t="n"/>
    </row>
    <row r="114">
      <c r="A114" s="4" t="inlineStr">
        <is>
          <t>grasa l50</t>
        </is>
      </c>
      <c r="B114" s="17" t="inlineStr">
        <is>
          <t xml:space="preserve">base </t>
        </is>
      </c>
      <c r="C114" s="5" t="inlineStr">
        <is>
          <t xml:space="preserve">falanx </t>
        </is>
      </c>
      <c r="D114" s="8" t="inlineStr">
        <is>
          <t>kg</t>
        </is>
      </c>
      <c r="E114" s="7" t="n">
        <v>8100</v>
      </c>
      <c r="F114" s="18" t="n">
        <v>46539</v>
      </c>
      <c r="G114" s="19" t="n">
        <v>260622</v>
      </c>
      <c r="H114" s="19" t="n"/>
      <c r="I114" s="4" t="n"/>
      <c r="J114" s="4" t="n"/>
    </row>
    <row r="115">
      <c r="A115" s="4" t="inlineStr">
        <is>
          <t>mtc 50</t>
        </is>
      </c>
      <c r="B115" s="17" t="inlineStr">
        <is>
          <t>base</t>
        </is>
      </c>
      <c r="C115" s="5" t="inlineStr">
        <is>
          <t xml:space="preserve">falanx </t>
        </is>
      </c>
      <c r="D115" s="8" t="inlineStr">
        <is>
          <t>kg</t>
        </is>
      </c>
      <c r="E115" s="9" t="n">
        <v>2675</v>
      </c>
      <c r="F115" s="18" t="n">
        <v>46539</v>
      </c>
      <c r="G115" s="19" t="n">
        <v>260622</v>
      </c>
      <c r="H115" s="19" t="n"/>
      <c r="I115" s="4" t="n"/>
      <c r="J115" s="4" t="n"/>
    </row>
    <row r="116">
      <c r="A116" s="5" t="inlineStr">
        <is>
          <t>LEUCINA</t>
        </is>
      </c>
      <c r="B116" s="7" t="inlineStr">
        <is>
          <t>Aminoácido</t>
        </is>
      </c>
      <c r="C116" s="4" t="inlineStr">
        <is>
          <t xml:space="preserve">DVA </t>
        </is>
      </c>
      <c r="D116" s="8" t="inlineStr">
        <is>
          <t xml:space="preserve">kg </t>
        </is>
      </c>
      <c r="E116" s="9" t="n">
        <v>385.9</v>
      </c>
      <c r="F116" s="10" t="n">
        <v>46351</v>
      </c>
      <c r="G116" s="4" t="n">
        <v>1132411002</v>
      </c>
      <c r="H116" s="22" t="inlineStr">
        <is>
          <t>26-MP-723</t>
        </is>
      </c>
      <c r="I116" s="4" t="n"/>
      <c r="J116" s="4" t="n"/>
    </row>
    <row r="117">
      <c r="A117" s="5" t="inlineStr">
        <is>
          <t>LEUCINA</t>
        </is>
      </c>
      <c r="B117" s="7" t="inlineStr">
        <is>
          <t>Aminoácido</t>
        </is>
      </c>
      <c r="C117" s="4" t="inlineStr">
        <is>
          <t>DVA</t>
        </is>
      </c>
      <c r="D117" s="8" t="inlineStr">
        <is>
          <t xml:space="preserve">kg </t>
        </is>
      </c>
      <c r="E117" s="9" t="n">
        <v>25</v>
      </c>
      <c r="F117" s="10" t="n">
        <v>46351</v>
      </c>
      <c r="G117" s="4" t="n">
        <v>1132411001</v>
      </c>
      <c r="H117" s="4" t="n"/>
      <c r="I117" s="4" t="inlineStr">
        <is>
          <t xml:space="preserve">LOTE KC251216 250KG </t>
        </is>
      </c>
      <c r="J117" s="4" t="n"/>
    </row>
    <row r="118">
      <c r="A118" s="4" t="inlineStr">
        <is>
          <t>LISINA</t>
        </is>
      </c>
      <c r="B118" s="7" t="inlineStr">
        <is>
          <t>Aminoácido</t>
        </is>
      </c>
      <c r="C118" s="4" t="inlineStr">
        <is>
          <t>DVA</t>
        </is>
      </c>
      <c r="D118" s="8" t="inlineStr">
        <is>
          <t xml:space="preserve">kg </t>
        </is>
      </c>
      <c r="E118" s="9" t="n">
        <v>325</v>
      </c>
      <c r="F118" s="10" t="n">
        <v>46571</v>
      </c>
      <c r="G118" s="4" t="inlineStr">
        <is>
          <t>KC250704</t>
        </is>
      </c>
      <c r="H118" s="4" t="n"/>
      <c r="I118" s="4" t="inlineStr">
        <is>
          <t>DAR DE ALTA</t>
        </is>
      </c>
      <c r="J118" s="4" t="n"/>
    </row>
    <row r="119">
      <c r="A119" s="5" t="inlineStr">
        <is>
          <t>ARGININA</t>
        </is>
      </c>
      <c r="B119" s="7" t="inlineStr">
        <is>
          <t>Aminoácido</t>
        </is>
      </c>
      <c r="C119" s="4" t="inlineStr">
        <is>
          <t>TCA</t>
        </is>
      </c>
      <c r="D119" s="4" t="inlineStr">
        <is>
          <t>kg</t>
        </is>
      </c>
      <c r="E119" s="9">
        <f>293.15+19.15</f>
        <v/>
      </c>
      <c r="F119" s="10" t="n">
        <v>46337</v>
      </c>
      <c r="G119" s="4" t="n">
        <v>5202411021</v>
      </c>
      <c r="H119" s="21" t="inlineStr">
        <is>
          <t>26-MP-804</t>
        </is>
      </c>
      <c r="I119" s="4" t="n"/>
      <c r="J119" s="4" t="n"/>
    </row>
    <row r="120">
      <c r="A120" s="4" t="inlineStr">
        <is>
          <t>VALINA</t>
        </is>
      </c>
      <c r="B120" s="7" t="inlineStr">
        <is>
          <t>Aminoácido</t>
        </is>
      </c>
      <c r="C120" s="4" t="inlineStr">
        <is>
          <t>TCA</t>
        </is>
      </c>
      <c r="D120" s="8" t="inlineStr">
        <is>
          <t>kg</t>
        </is>
      </c>
      <c r="E120" s="9" t="n">
        <v>169.15</v>
      </c>
      <c r="F120" s="10" t="n">
        <v>46361</v>
      </c>
      <c r="G120" s="4" t="n">
        <v>323241202</v>
      </c>
      <c r="H120" s="4" t="inlineStr">
        <is>
          <t>26-MP-897</t>
        </is>
      </c>
      <c r="I120" s="4" t="n"/>
      <c r="J120" s="4" t="n"/>
    </row>
    <row r="121">
      <c r="A121" s="23" t="inlineStr">
        <is>
          <t>L TRIPTOFANO</t>
        </is>
      </c>
      <c r="B121" s="7" t="inlineStr">
        <is>
          <t>Aminoácido</t>
        </is>
      </c>
      <c r="C121" s="4" t="inlineStr">
        <is>
          <t>TCA</t>
        </is>
      </c>
      <c r="D121" s="8" t="inlineStr">
        <is>
          <t>kg</t>
        </is>
      </c>
      <c r="E121" s="9" t="n">
        <v>25</v>
      </c>
      <c r="F121" s="10" t="n">
        <v>46388</v>
      </c>
      <c r="G121" s="4" t="inlineStr">
        <is>
          <t>KC250102</t>
        </is>
      </c>
      <c r="H121" s="4" t="n"/>
      <c r="I121" s="4" t="n"/>
      <c r="J121" s="4" t="n"/>
    </row>
    <row r="122">
      <c r="A122" s="4" t="inlineStr">
        <is>
          <t>L-HISTIDINA</t>
        </is>
      </c>
      <c r="B122" s="4" t="inlineStr">
        <is>
          <t>Aminoácido</t>
        </is>
      </c>
      <c r="C122" s="4" t="inlineStr">
        <is>
          <t>TCA</t>
        </is>
      </c>
      <c r="D122" s="4" t="inlineStr">
        <is>
          <t>kg</t>
        </is>
      </c>
      <c r="E122" s="9" t="n">
        <v>25</v>
      </c>
      <c r="F122" s="10" t="n">
        <v>46758</v>
      </c>
      <c r="G122" s="4" t="inlineStr">
        <is>
          <t>KC260107</t>
        </is>
      </c>
      <c r="H122" s="4" t="inlineStr">
        <is>
          <t>N/E</t>
        </is>
      </c>
      <c r="I122" s="4" t="n"/>
      <c r="J122" s="4" t="n"/>
    </row>
    <row r="123">
      <c r="A123" s="5" t="inlineStr">
        <is>
          <t>TREONINA</t>
        </is>
      </c>
      <c r="B123" s="7" t="inlineStr">
        <is>
          <t>Aminoácido</t>
        </is>
      </c>
      <c r="C123" s="4" t="inlineStr">
        <is>
          <t>TCA</t>
        </is>
      </c>
      <c r="D123" s="4" t="inlineStr">
        <is>
          <t>kg</t>
        </is>
      </c>
      <c r="E123" s="9" t="n">
        <v>275</v>
      </c>
      <c r="F123" s="10" t="n">
        <v>46840</v>
      </c>
      <c r="G123" s="4" t="n">
        <v>5042411017</v>
      </c>
      <c r="H123" s="4" t="n"/>
      <c r="I123" s="4" t="n"/>
      <c r="J123" s="4" t="n"/>
    </row>
    <row r="124">
      <c r="A124" s="5" t="inlineStr">
        <is>
          <t>BITARTRATO DE COLINA</t>
        </is>
      </c>
      <c r="B124" s="7" t="inlineStr">
        <is>
          <t>Aminoácido</t>
        </is>
      </c>
      <c r="C124" s="5" t="inlineStr">
        <is>
          <t>TCA</t>
        </is>
      </c>
      <c r="D124" s="8" t="inlineStr">
        <is>
          <t>kg</t>
        </is>
      </c>
      <c r="E124" s="9" t="n">
        <v>41.3</v>
      </c>
      <c r="F124" s="10" t="inlineStr">
        <is>
          <t>12/26/2029</t>
        </is>
      </c>
      <c r="G124" s="20" t="n">
        <v>3030774</v>
      </c>
      <c r="H124" s="20" t="n"/>
      <c r="I124" s="4" t="inlineStr">
        <is>
          <t>DAR DE ALTA</t>
        </is>
      </c>
      <c r="J124" s="4" t="n"/>
    </row>
    <row r="125">
      <c r="A125" s="4" t="inlineStr">
        <is>
          <t xml:space="preserve">azucar </t>
        </is>
      </c>
      <c r="B125" s="7" t="inlineStr">
        <is>
          <t>Aminoácido</t>
        </is>
      </c>
      <c r="C125" s="5" t="inlineStr">
        <is>
          <t>TCA</t>
        </is>
      </c>
      <c r="D125" s="8" t="inlineStr">
        <is>
          <t>kg</t>
        </is>
      </c>
      <c r="E125" s="9" t="n">
        <v>400</v>
      </c>
      <c r="F125" s="10" t="inlineStr">
        <is>
          <t>N/A</t>
        </is>
      </c>
      <c r="G125" s="20" t="inlineStr">
        <is>
          <t>CR-0729229</t>
        </is>
      </c>
      <c r="H125" s="20" t="n"/>
      <c r="I125" s="4" t="n"/>
      <c r="J125" s="4" t="n"/>
    </row>
    <row r="126">
      <c r="A126" s="4" t="inlineStr">
        <is>
          <t xml:space="preserve">CHICORIA </t>
        </is>
      </c>
      <c r="B126" s="4" t="inlineStr">
        <is>
          <t>FIBRA</t>
        </is>
      </c>
      <c r="C126" s="4" t="inlineStr">
        <is>
          <t xml:space="preserve">AZELIS </t>
        </is>
      </c>
      <c r="D126" s="4" t="inlineStr">
        <is>
          <t>Kg</t>
        </is>
      </c>
      <c r="E126" s="9" t="n">
        <v>375</v>
      </c>
      <c r="F126" s="10" t="n">
        <v>47213</v>
      </c>
      <c r="G126" s="20" t="inlineStr">
        <is>
          <t>C204148</t>
        </is>
      </c>
      <c r="H126" s="20" t="inlineStr">
        <is>
          <t>26-mp-897</t>
        </is>
      </c>
      <c r="I126" s="4" t="n"/>
      <c r="J126" s="4" t="n"/>
    </row>
    <row r="127">
      <c r="A127" s="4" t="inlineStr">
        <is>
          <t>carbonato ligero de potasio</t>
        </is>
      </c>
      <c r="B127" s="4" t="inlineStr">
        <is>
          <t>Aminoácido</t>
        </is>
      </c>
      <c r="C127" s="4" t="inlineStr">
        <is>
          <t>bonanza</t>
        </is>
      </c>
      <c r="D127" s="4" t="inlineStr">
        <is>
          <t xml:space="preserve">kg </t>
        </is>
      </c>
      <c r="E127" s="9" t="n">
        <v>30</v>
      </c>
      <c r="F127" s="10" t="inlineStr">
        <is>
          <t>26/17/07</t>
        </is>
      </c>
      <c r="G127" s="20" t="inlineStr">
        <is>
          <t>K2101181212101</t>
        </is>
      </c>
      <c r="H127" s="20" t="n"/>
      <c r="I127" s="4" t="n"/>
      <c r="J127" s="4" t="n"/>
    </row>
    <row r="128">
      <c r="A128" s="4" t="inlineStr">
        <is>
          <t xml:space="preserve">cloruro de potasio </t>
        </is>
      </c>
      <c r="B128" s="4" t="inlineStr">
        <is>
          <t>vitamina</t>
        </is>
      </c>
      <c r="C128" s="4" t="inlineStr">
        <is>
          <t>lucero juliana</t>
        </is>
      </c>
      <c r="D128" s="4" t="inlineStr">
        <is>
          <t xml:space="preserve">kg </t>
        </is>
      </c>
      <c r="E128" s="9" t="n">
        <v>12.5</v>
      </c>
      <c r="F128" s="10" t="n">
        <v>46962</v>
      </c>
      <c r="G128" s="20" t="n">
        <v>8925000061</v>
      </c>
      <c r="H128" s="20" t="n"/>
      <c r="I128" s="4" t="n"/>
      <c r="J128" s="4" t="n"/>
    </row>
    <row r="129">
      <c r="A129" s="4" t="inlineStr">
        <is>
          <t xml:space="preserve">betaglucano </t>
        </is>
      </c>
      <c r="B129" s="4" t="inlineStr">
        <is>
          <t>aditivo</t>
        </is>
      </c>
      <c r="C129" s="4" t="inlineStr">
        <is>
          <t>n/a</t>
        </is>
      </c>
      <c r="D129" s="4" t="inlineStr">
        <is>
          <t>kg</t>
        </is>
      </c>
      <c r="E129" s="9" t="n">
        <v>9</v>
      </c>
      <c r="F129" s="10" t="n">
        <v>46112</v>
      </c>
      <c r="G129" s="20" t="inlineStr">
        <is>
          <t>C2405023132</t>
        </is>
      </c>
      <c r="H129" s="20" t="n"/>
      <c r="I129" s="4" t="n"/>
      <c r="J129" s="4" t="n"/>
    </row>
    <row r="130">
      <c r="A130" s="4" t="inlineStr">
        <is>
          <t>Polisorbarto</t>
        </is>
      </c>
      <c r="B130" s="4" t="inlineStr">
        <is>
          <t xml:space="preserve">conservador </t>
        </is>
      </c>
      <c r="C130" s="4" t="inlineStr">
        <is>
          <t>difarmer</t>
        </is>
      </c>
      <c r="D130" s="4" t="inlineStr">
        <is>
          <t>kg</t>
        </is>
      </c>
      <c r="E130" s="9" t="n">
        <v>20</v>
      </c>
      <c r="F130" s="10" t="n">
        <v>46916</v>
      </c>
      <c r="G130" s="20" t="inlineStr">
        <is>
          <t>260612Z021569</t>
        </is>
      </c>
      <c r="H130" s="20" t="n"/>
      <c r="I130" s="4" t="n"/>
      <c r="J130" s="4" t="n"/>
    </row>
    <row r="131">
      <c r="A131" s="4" t="inlineStr">
        <is>
          <t>ENMASCARANTE</t>
        </is>
      </c>
      <c r="B131" s="4" t="inlineStr">
        <is>
          <t>Aditivo</t>
        </is>
      </c>
      <c r="C131" s="4" t="inlineStr">
        <is>
          <t>Multisabores</t>
        </is>
      </c>
      <c r="D131" s="4" t="inlineStr">
        <is>
          <t xml:space="preserve">kg </t>
        </is>
      </c>
      <c r="E131" s="9" t="n">
        <v>18.55</v>
      </c>
      <c r="F131" s="10" t="n">
        <v>46997</v>
      </c>
      <c r="G131" s="20" t="inlineStr">
        <is>
          <t>PT208240926</t>
        </is>
      </c>
      <c r="H131" s="20" t="n"/>
      <c r="I131" s="4" t="n"/>
      <c r="J131" s="4" t="n"/>
    </row>
    <row r="132">
      <c r="A132" s="4" t="inlineStr">
        <is>
          <t>CREATINA MONOHIDRATADA</t>
        </is>
      </c>
      <c r="B132" s="4" t="inlineStr">
        <is>
          <t>OTRO</t>
        </is>
      </c>
      <c r="C132" s="4" t="inlineStr">
        <is>
          <t xml:space="preserve">TCA </t>
        </is>
      </c>
      <c r="D132" s="4" t="inlineStr">
        <is>
          <t xml:space="preserve">Kg </t>
        </is>
      </c>
      <c r="E132" s="9" t="n">
        <v>3000</v>
      </c>
      <c r="F132" s="10" t="inlineStr">
        <is>
          <t>2028/07/2028</t>
        </is>
      </c>
      <c r="G132" s="8" t="inlineStr">
        <is>
          <t>250408-C11</t>
        </is>
      </c>
      <c r="H132" s="8" t="inlineStr">
        <is>
          <t>MP-26-878</t>
        </is>
      </c>
      <c r="I132" s="4" t="n"/>
      <c r="J132" s="4" t="n"/>
    </row>
    <row r="133">
      <c r="A133" s="4" t="inlineStr">
        <is>
          <t>SORBITOL</t>
        </is>
      </c>
      <c r="B133" s="4" t="inlineStr">
        <is>
          <t>OTRO</t>
        </is>
      </c>
      <c r="C133" s="4" t="inlineStr">
        <is>
          <t>DIFARME</t>
        </is>
      </c>
      <c r="D133" s="4" t="inlineStr">
        <is>
          <t>Kg</t>
        </is>
      </c>
      <c r="E133" s="9" t="n">
        <v>370</v>
      </c>
      <c r="F133" s="4" t="n"/>
      <c r="G133" s="8" t="inlineStr">
        <is>
          <t>2JE605</t>
        </is>
      </c>
      <c r="H133" s="8" t="n"/>
      <c r="I133" s="4" t="n"/>
      <c r="J133" s="4" t="n"/>
    </row>
    <row r="134">
      <c r="A134" s="4" t="inlineStr">
        <is>
          <t>celulosa</t>
        </is>
      </c>
      <c r="B134" s="4" t="inlineStr">
        <is>
          <t>otro</t>
        </is>
      </c>
      <c r="C134" s="4" t="inlineStr">
        <is>
          <t>n/a</t>
        </is>
      </c>
      <c r="D134" s="4" t="inlineStr">
        <is>
          <t>Kg</t>
        </is>
      </c>
      <c r="E134" s="9" t="n">
        <v>6</v>
      </c>
      <c r="F134" s="4" t="n"/>
      <c r="G134" s="4" t="inlineStr">
        <is>
          <t>2F102020L28</t>
        </is>
      </c>
      <c r="H134" s="4" t="inlineStr">
        <is>
          <t>26-MP-829</t>
        </is>
      </c>
      <c r="I134" s="1" t="inlineStr">
        <is>
          <t>JAULA CUARENTENA</t>
        </is>
      </c>
      <c r="J134" s="1" t="n"/>
    </row>
    <row r="135">
      <c r="A135" s="4" t="inlineStr">
        <is>
          <t>LEUCINA</t>
        </is>
      </c>
      <c r="B135" s="4" t="inlineStr">
        <is>
          <t>Aminoácido</t>
        </is>
      </c>
      <c r="C135" s="4" t="inlineStr">
        <is>
          <t>TCA</t>
        </is>
      </c>
      <c r="D135" s="4" t="inlineStr">
        <is>
          <t>KG</t>
        </is>
      </c>
      <c r="E135" s="4" t="n">
        <v>200</v>
      </c>
      <c r="F135" s="24" t="n">
        <v>46722</v>
      </c>
      <c r="G135" s="4" t="inlineStr">
        <is>
          <t>KC251216</t>
        </is>
      </c>
      <c r="H135" s="4" t="n"/>
      <c r="I135" s="4" t="n"/>
      <c r="J135" s="4" t="n"/>
    </row>
    <row r="136">
      <c r="A136" s="4" t="inlineStr">
        <is>
          <t>RESVERATTROL</t>
        </is>
      </c>
      <c r="B136" s="4" t="inlineStr">
        <is>
          <t>ANTIOXIDANTE</t>
        </is>
      </c>
      <c r="C136" s="4" t="inlineStr">
        <is>
          <t>TCA</t>
        </is>
      </c>
      <c r="D136" s="4" t="inlineStr">
        <is>
          <t>KG</t>
        </is>
      </c>
      <c r="E136" s="4" t="n">
        <v>18.24</v>
      </c>
      <c r="F136" s="4" t="inlineStr">
        <is>
          <t>MAY/08/2027</t>
        </is>
      </c>
      <c r="G136" s="4" t="inlineStr">
        <is>
          <t>S20982405002</t>
        </is>
      </c>
      <c r="H136" s="4" t="n"/>
      <c r="I136" s="4" t="inlineStr">
        <is>
          <t>DAR DE ALTA</t>
        </is>
      </c>
      <c r="J136" s="4" t="n"/>
    </row>
    <row r="137">
      <c r="A137" s="5" t="inlineStr">
        <is>
          <t>INOSITOL EN POLVO</t>
        </is>
      </c>
      <c r="B137" s="7" t="inlineStr">
        <is>
          <t>Otro</t>
        </is>
      </c>
      <c r="C137" s="5" t="inlineStr">
        <is>
          <t>TCA</t>
        </is>
      </c>
      <c r="D137" s="8" t="inlineStr">
        <is>
          <t>kg</t>
        </is>
      </c>
      <c r="E137" s="4" t="n">
        <v>24.5</v>
      </c>
      <c r="F137" s="25" t="n">
        <v>47286</v>
      </c>
      <c r="G137" s="4" t="n">
        <v>1012506180300</v>
      </c>
      <c r="H137" s="4" t="n"/>
      <c r="I137" s="4" t="n"/>
      <c r="J137" s="4" t="n"/>
    </row>
    <row r="138">
      <c r="A138" s="5" t="inlineStr">
        <is>
          <t>BITARTRATO DE COLINA</t>
        </is>
      </c>
      <c r="B138" s="7" t="inlineStr">
        <is>
          <t>Aminoácido</t>
        </is>
      </c>
      <c r="C138" s="5" t="inlineStr">
        <is>
          <t>TCA</t>
        </is>
      </c>
      <c r="D138" s="8" t="inlineStr">
        <is>
          <t>kg</t>
        </is>
      </c>
      <c r="E138" s="4" t="n">
        <v>50</v>
      </c>
      <c r="F138" s="25" t="n">
        <v>46989</v>
      </c>
      <c r="G138" s="4" t="inlineStr">
        <is>
          <t>DL250825</t>
        </is>
      </c>
      <c r="H138" s="4" t="n"/>
      <c r="I138" s="4" t="inlineStr">
        <is>
          <t>DAR DE ALTA</t>
        </is>
      </c>
      <c r="J138" s="4" t="n"/>
    </row>
    <row r="139">
      <c r="A139" s="4" t="inlineStr">
        <is>
          <t>BICARBONATO DE CALCIO</t>
        </is>
      </c>
      <c r="B139" s="4" t="inlineStr">
        <is>
          <t>Aminoácido</t>
        </is>
      </c>
      <c r="C139" s="4" t="inlineStr">
        <is>
          <t>WIN</t>
        </is>
      </c>
      <c r="D139" s="4" t="inlineStr">
        <is>
          <t>KG</t>
        </is>
      </c>
      <c r="E139" s="4" t="n">
        <v>15.2</v>
      </c>
      <c r="F139" s="25" t="n">
        <v>46560</v>
      </c>
      <c r="G139" s="4" t="n">
        <v>2518010909</v>
      </c>
      <c r="H139" s="4" t="n"/>
      <c r="I139" s="4" t="inlineStr">
        <is>
          <t>DAR DE ALTA</t>
        </is>
      </c>
      <c r="J139" s="4" t="n"/>
    </row>
    <row r="140">
      <c r="A140" s="4" t="inlineStr">
        <is>
          <t>NMN NICOTINAMIDA</t>
        </is>
      </c>
      <c r="B140" s="4" t="inlineStr">
        <is>
          <t>Aminoácido</t>
        </is>
      </c>
      <c r="C140" s="4" t="inlineStr">
        <is>
          <t>TCA</t>
        </is>
      </c>
      <c r="D140" s="4" t="inlineStr">
        <is>
          <t>KG</t>
        </is>
      </c>
      <c r="E140" s="4" t="n">
        <v>50</v>
      </c>
      <c r="F140" s="25" t="n">
        <v>42811</v>
      </c>
      <c r="G140" s="4" t="n">
        <v>20250318</v>
      </c>
      <c r="H140" s="4" t="n"/>
      <c r="I140" s="4" t="inlineStr">
        <is>
          <t>DAR DE ALTA</t>
        </is>
      </c>
      <c r="J140" s="4" t="n"/>
    </row>
    <row r="141">
      <c r="A141" s="4" t="inlineStr">
        <is>
          <t>SULFATO DE MAGNESIO</t>
        </is>
      </c>
      <c r="B141" s="7" t="inlineStr">
        <is>
          <t>Mineral</t>
        </is>
      </c>
      <c r="C141" s="5" t="inlineStr">
        <is>
          <t>TCA</t>
        </is>
      </c>
      <c r="D141" s="8" t="inlineStr">
        <is>
          <t>kg</t>
        </is>
      </c>
      <c r="E141" s="4" t="n">
        <v>44</v>
      </c>
      <c r="F141" s="25" t="n">
        <v>46546</v>
      </c>
      <c r="G141" s="4" t="n">
        <v>910625</v>
      </c>
      <c r="H141" s="4" t="n"/>
      <c r="I141" s="4" t="inlineStr">
        <is>
          <t>DAR DE ALTA</t>
        </is>
      </c>
      <c r="J141" s="4" t="n"/>
    </row>
  </sheetData>
  <autoFilter ref="A3:I141">
    <sortState ref="A29:I119">
      <sortCondition descending="1" ref="A3:A118"/>
    </sortState>
  </autoFilter>
  <mergeCells count="1">
    <mergeCell ref="B1:I2"/>
  </mergeCells>
  <conditionalFormatting sqref="F4:F105 F108:F132">
    <cfRule type="expression" priority="12" dxfId="0">
      <formula>AND(F4&lt;&gt;"",F4&lt;TODAY())</formula>
    </cfRule>
    <cfRule type="expression" priority="11" dxfId="1">
      <formula>AND(F4&lt;&gt;"",F4&lt;TODAY()+90,F4&gt;=TODAY())</formula>
    </cfRule>
  </conditionalFormatting>
  <conditionalFormatting sqref="F120">
    <cfRule type="expression" priority="3" dxfId="1">
      <formula>AND(F120&lt;&gt;"",F120&lt;TODAY()+90,F120&gt;=TODAY())</formula>
    </cfRule>
    <cfRule type="expression" priority="4" dxfId="0">
      <formula>AND(F120&lt;&gt;"",F120&lt;TODAY())</formula>
    </cfRule>
  </conditionalFormatting>
  <conditionalFormatting sqref="G41">
    <cfRule type="expression" priority="13" dxfId="1">
      <formula>AND(G41&lt;&gt;"",G41&lt;TODAY()+90,G41&gt;=TODAY())</formula>
    </cfRule>
    <cfRule type="expression" priority="14" dxfId="0">
      <formula>AND(G41&lt;&gt;"",G41&lt;TODAY())</formula>
    </cfRule>
  </conditionalFormatting>
  <conditionalFormatting sqref="G76">
    <cfRule type="expression" priority="5" dxfId="1">
      <formula>AND(G76&lt;&gt;"",G76&lt;TODAY()+90,G76&gt;=TODAY())</formula>
    </cfRule>
    <cfRule type="expression" priority="6" dxfId="0">
      <formula>AND(G76&lt;&gt;"",G76&lt;TODAY())</formula>
    </cfRule>
  </conditionalFormatting>
  <conditionalFormatting sqref="G106:H107">
    <cfRule type="expression" priority="24" dxfId="1">
      <formula>AND(G106&lt;&gt;"",G106&lt;TODAY()+90,G106&gt;=TODAY())</formula>
    </cfRule>
    <cfRule type="expression" priority="25" dxfId="0">
      <formula>AND(G106&lt;&gt;"",G106&lt;TODAY())</formula>
    </cfRule>
  </conditionalFormatting>
  <conditionalFormatting sqref="H88">
    <cfRule type="expression" priority="1" dxfId="1">
      <formula>AND(H88&lt;&gt;"",H88&lt;TODAY()+90,H88&gt;=TODAY())</formula>
    </cfRule>
    <cfRule type="expression" priority="2" dxfId="0">
      <formula>AND(H88&lt;&gt;"",H88&lt;TODAY())</formula>
    </cfRule>
  </conditionalFormatting>
  <dataValidations count="2">
    <dataValidation sqref="D4:D37 D76 D105 D124:D125 D138" showDropDown="0" showInputMessage="0" showErrorMessage="0" allowBlank="1" type="list">
      <formula1>"kg,g,l,ml,pieza"</formula1>
      <formula2>0</formula2>
    </dataValidation>
    <dataValidation sqref="B4:B121 B123:B125 B137:B138 B141" showDropDown="0" showInputMessage="0" showErrorMessage="0" allowBlank="1" type="list">
      <formula1>"Carbohidrato,Proteína,Grasa,Vitamina,Mineral,Aditivo,Aminoácido,Otro"</formula1>
    </dataValidation>
  </dataValidations>
  <pageMargins left="0.75" right="0.75" top="1" bottom="1" header="0.511811023622047" footer="0.511811023622047"/>
  <pageSetup orientation="landscape" paperSize="9" scale="86" horizontalDpi="300" verticalDpi="300"/>
  <rowBreaks count="1" manualBreakCount="1">
    <brk id="96" min="0" max="16383" man="1"/>
  </rowBreaks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Esteban Soto Rodriguez</dc:creator>
  <dcterms:created xmlns:dcterms="http://purl.org/dc/terms/" xmlns:xsi="http://www.w3.org/2001/XMLSchema-instance" xsi:type="dcterms:W3CDTF">2026-06-24T03:40:46Z</dcterms:created>
  <dcterms:modified xmlns:dcterms="http://purl.org/dc/terms/" xmlns:xsi="http://www.w3.org/2001/XMLSchema-instance" xsi:type="dcterms:W3CDTF">2026-10-22T20:54:51Z</dcterms:modified>
  <cp:lastModifiedBy>Comercializadora Migh</cp:lastModifiedBy>
  <cp:lastPrinted>2026-08-31T15:45:52Z</cp:lastPrinted>
</cp:coreProperties>
</file>